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C0F7FACC-93E8-47DD-A9FC-FD2A2D6053D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ayfa1" sheetId="1" r:id="rId1"/>
    <sheet name="kullanım dışı" sheetId="2" r:id="rId2"/>
  </sheets>
  <definedNames>
    <definedName name="_xlnm._FilterDatabase" localSheetId="0" hidden="1">Sayfa1!$A$9:$L$192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1" l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19" i="1"/>
  <c r="L20" i="1"/>
  <c r="L21" i="1"/>
  <c r="L22" i="1"/>
  <c r="L23" i="1"/>
  <c r="L24" i="1"/>
  <c r="L25" i="1"/>
  <c r="L26" i="1"/>
  <c r="L27" i="1"/>
  <c r="L11" i="1"/>
  <c r="L12" i="1"/>
  <c r="L13" i="1"/>
  <c r="L14" i="1"/>
  <c r="L15" i="1"/>
  <c r="L16" i="1"/>
  <c r="L17" i="1"/>
  <c r="L18" i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E27" authorId="0" shapeId="0" xr:uid="{CD2D7F76-8E89-49CD-A145-0EDB001C5CA1}">
      <text>
        <r>
          <rPr>
            <b/>
            <sz val="11"/>
            <color theme="1"/>
            <rFont val="Calibri"/>
            <family val="2"/>
            <scheme val="minor"/>
          </rPr>
          <t>Yazar:</t>
        </r>
        <r>
          <rPr>
            <sz val="11"/>
            <color theme="1"/>
            <rFont val="Calibri"/>
            <family val="2"/>
            <scheme val="minor"/>
          </rPr>
          <t xml:space="preserve">
GÜNCEL SAYIDIR</t>
        </r>
      </text>
    </comment>
    <comment ref="E32" authorId="0" shapeId="0" xr:uid="{38F8DC43-3543-49BE-8B29-7962D3FF0647}">
      <text>
        <r>
          <rPr>
            <b/>
            <sz val="11"/>
            <color theme="1"/>
            <rFont val="Calibri"/>
            <family val="2"/>
            <scheme val="minor"/>
          </rPr>
          <t>Yazar:</t>
        </r>
        <r>
          <rPr>
            <sz val="11"/>
            <color theme="1"/>
            <rFont val="Calibri"/>
            <family val="2"/>
            <scheme val="minor"/>
          </rPr>
          <t xml:space="preserve">
GÜNCEL SAYIDIR</t>
        </r>
      </text>
    </comment>
    <comment ref="E48" authorId="0" shapeId="0" xr:uid="{F2CFF68C-A1CB-4EA8-A943-8F804F59CBEE}">
      <text>
        <r>
          <rPr>
            <b/>
            <sz val="11"/>
            <color theme="1"/>
            <rFont val="Calibri"/>
            <family val="2"/>
            <scheme val="minor"/>
          </rPr>
          <t>Yazar:</t>
        </r>
        <r>
          <rPr>
            <sz val="11"/>
            <color theme="1"/>
            <rFont val="Calibri"/>
            <family val="2"/>
            <scheme val="minor"/>
          </rPr>
          <t xml:space="preserve">
GÜNCEL SAYIDIR</t>
        </r>
      </text>
    </comment>
    <comment ref="E49" authorId="0" shapeId="0" xr:uid="{D7CDAE56-113B-4DBF-AF39-F0D3B496B60D}">
      <text>
        <r>
          <rPr>
            <b/>
            <sz val="11"/>
            <color theme="1"/>
            <rFont val="Calibri"/>
            <family val="2"/>
            <scheme val="minor"/>
          </rPr>
          <t>Yazar:</t>
        </r>
        <r>
          <rPr>
            <sz val="11"/>
            <color theme="1"/>
            <rFont val="Calibri"/>
            <family val="2"/>
            <scheme val="minor"/>
          </rPr>
          <t xml:space="preserve">
GÜNCEL SAYIDIR</t>
        </r>
      </text>
    </comment>
    <comment ref="E50" authorId="0" shapeId="0" xr:uid="{E43FAC69-385A-4BC6-B878-2880293C809E}">
      <text>
        <r>
          <rPr>
            <b/>
            <sz val="11"/>
            <color theme="1"/>
            <rFont val="Calibri"/>
            <family val="2"/>
            <scheme val="minor"/>
          </rPr>
          <t>Yazar:</t>
        </r>
        <r>
          <rPr>
            <sz val="11"/>
            <color theme="1"/>
            <rFont val="Calibri"/>
            <family val="2"/>
            <scheme val="minor"/>
          </rPr>
          <t xml:space="preserve">
GÜNCEL SAYIDIR</t>
        </r>
      </text>
    </comment>
  </commentList>
</comments>
</file>

<file path=xl/sharedStrings.xml><?xml version="1.0" encoding="utf-8"?>
<sst xmlns="http://schemas.openxmlformats.org/spreadsheetml/2006/main" count="1078" uniqueCount="510">
  <si>
    <t>MALZEME SAYIM FORMU</t>
  </si>
  <si>
    <t xml:space="preserve">
Açıklama: </t>
  </si>
  <si>
    <t xml:space="preserve">
Sayımın Yapıldığı
Tarih: 4.03.2026</t>
  </si>
  <si>
    <t xml:space="preserve">
Sayımı Yapan: Mehtap ŞİMŞEK</t>
  </si>
  <si>
    <t>Onay: Nilgün Genç</t>
  </si>
  <si>
    <t>Sıra No</t>
  </si>
  <si>
    <t>Katolog Numarası</t>
  </si>
  <si>
    <t>Malzeme Adı</t>
  </si>
  <si>
    <t>Marka</t>
  </si>
  <si>
    <t xml:space="preserve"> Depo</t>
  </si>
  <si>
    <t>Birim
(Reaksiyon, Adet, Lt., Kutu)</t>
  </si>
  <si>
    <t>Buzdolabı/Dolap</t>
  </si>
  <si>
    <t>Son Kullanma Tarihi</t>
  </si>
  <si>
    <t xml:space="preserve">Kritik Stok Seviyesi </t>
  </si>
  <si>
    <t>İdeal Stok Seviyesi 
(3 aylık)</t>
  </si>
  <si>
    <t>Maksimum Stok Seviyesi</t>
  </si>
  <si>
    <t>Stok Durumu (Yeterli, Satın Al)</t>
  </si>
  <si>
    <t>0,6 ml Microcentrifuge tube (DNase-RNase free)</t>
  </si>
  <si>
    <t>Nest</t>
  </si>
  <si>
    <t>Kutu</t>
  </si>
  <si>
    <t>Depo Oda Isısı /Koridor1/Raf1-1</t>
  </si>
  <si>
    <t>2020X2025</t>
  </si>
  <si>
    <t>DNA decontamination reagent 250ml (sigma)/DNA Away_7010 (MBP)</t>
  </si>
  <si>
    <t>MBP</t>
  </si>
  <si>
    <t>Adet</t>
  </si>
  <si>
    <t>Yok</t>
  </si>
  <si>
    <t>R2020</t>
  </si>
  <si>
    <t>RNASE ZAP 250 ML</t>
  </si>
  <si>
    <t>SIGMA</t>
  </si>
  <si>
    <t>2 ml Microcentrifuge tube</t>
  </si>
  <si>
    <t>NEST</t>
  </si>
  <si>
    <t>Poşet</t>
  </si>
  <si>
    <t>Microamp Fast 96 Well Reaction Plate</t>
  </si>
  <si>
    <t>ABI</t>
  </si>
  <si>
    <t>MAP100C</t>
  </si>
  <si>
    <t>96 well plate ABI3500 VE VERİTY plate</t>
  </si>
  <si>
    <t>MAP</t>
  </si>
  <si>
    <t xml:space="preserve"> Kutu</t>
  </si>
  <si>
    <t>PLATE Septa 96-well (20 pcs)</t>
  </si>
  <si>
    <t xml:space="preserve">AB </t>
  </si>
  <si>
    <t>Paket</t>
  </si>
  <si>
    <t>HSR9905</t>
  </si>
  <si>
    <t>Hard-Shell 480 PCR plates 96 well (NGS için)</t>
  </si>
  <si>
    <t>BioRad</t>
  </si>
  <si>
    <t>15 ml microcenrifuge tube 50ad/pk</t>
  </si>
  <si>
    <t>Depo Oda Isısı /Koridor1/Raf1-2</t>
  </si>
  <si>
    <t>50 ml microcenrifuge tube 25ad/pk</t>
  </si>
  <si>
    <t xml:space="preserve">Paket </t>
  </si>
  <si>
    <t>PCR-02-C</t>
  </si>
  <si>
    <t xml:space="preserve">0,2 ml PCR tubes </t>
  </si>
  <si>
    <t>Axygene</t>
  </si>
  <si>
    <t xml:space="preserve"> Kutu </t>
  </si>
  <si>
    <t>YokX2 23.05.2028X5</t>
  </si>
  <si>
    <t>PCR-0208-FCP-C</t>
  </si>
  <si>
    <t>8 strip tubes and flat strip caps</t>
  </si>
  <si>
    <t>PCR-0108-LP-RT-W</t>
  </si>
  <si>
    <t>Strip, Low profile tubes, Plus real (0,1 ml, PCR Strip Tubes)</t>
  </si>
  <si>
    <t>SSIU8S</t>
  </si>
  <si>
    <t>SSI Ultraflux 8 strip 0.2 ml (8 li strip kendinden kapaklı PCR tüpü)</t>
  </si>
  <si>
    <t>Anatolia</t>
  </si>
  <si>
    <t>YOK</t>
  </si>
  <si>
    <t>Midi Plate (5adet=1poşet)</t>
  </si>
  <si>
    <t>Depo Oda Isısı /Koridor1/Raf1-3</t>
  </si>
  <si>
    <t>S33102</t>
  </si>
  <si>
    <t>SYBR Safe DNA Gel Stain</t>
  </si>
  <si>
    <t>İnvitrogen</t>
  </si>
  <si>
    <t>Z188956</t>
  </si>
  <si>
    <t>KIMWIPES EX-L LAB WIPES, 4-1/2 X 8-1/2IN (1PK=280)</t>
  </si>
  <si>
    <t>Kimtech</t>
  </si>
  <si>
    <t>PCR-05-C</t>
  </si>
  <si>
    <t>0.5 ml Max Rec. Thin wall PCR Tubes</t>
  </si>
  <si>
    <t>PCR-96-LC480-W</t>
  </si>
  <si>
    <t>96 Well PCXR microplate White</t>
  </si>
  <si>
    <t>HSS9601</t>
  </si>
  <si>
    <t>Hard-Shell High-Profile 96 well Semi-Skirted PCR Plate</t>
  </si>
  <si>
    <t>1,5 ml Microcentrifuge tube (DNase-RNase free)</t>
  </si>
  <si>
    <t>Depo Oda Isısı /Koridor1/Raf1-4</t>
  </si>
  <si>
    <t xml:space="preserve"> 08.2029X4 09.2029X8 11.2030X5</t>
  </si>
  <si>
    <t>El Dezenfektanı 1000ml</t>
  </si>
  <si>
    <t>Aqua Septıca</t>
  </si>
  <si>
    <t>Depo Oda Isısı /Koridor1/Raf 1-4</t>
  </si>
  <si>
    <t>Eppendorf</t>
  </si>
  <si>
    <t>Depo Oda Isısı /Koridor1/Raf1-5</t>
  </si>
  <si>
    <t>2 ml tüp</t>
  </si>
  <si>
    <t>1.5ml Safe-Lock Tubes</t>
  </si>
  <si>
    <t>MSA5001</t>
  </si>
  <si>
    <t>Seal A</t>
  </si>
  <si>
    <t>MSB1001</t>
  </si>
  <si>
    <t>Seal B</t>
  </si>
  <si>
    <t xml:space="preserve"> 1.01.2027X3 29.08.2034X2</t>
  </si>
  <si>
    <t>124.01.001</t>
  </si>
  <si>
    <t>Yapıştırma filmi-termal yapıştırma, 100/box (beyaz)</t>
  </si>
  <si>
    <t>Isolab</t>
  </si>
  <si>
    <t>Yapıştırma filmi-termal yapıştırma, 100/box (sarı)</t>
  </si>
  <si>
    <t>04.2026X3    04.2023X7</t>
  </si>
  <si>
    <t>7 ADET SABITA DEPO</t>
  </si>
  <si>
    <t>UltraPure Distilled Water DNase/Rnase Free 500mL</t>
  </si>
  <si>
    <t>1.05.2026X1 09.2027X3 04.2027X2</t>
  </si>
  <si>
    <t>AccuGETETM 1M TRIS-HCI Buffer, pH8.0, 1L</t>
  </si>
  <si>
    <t>Lonza</t>
  </si>
  <si>
    <t>ML</t>
  </si>
  <si>
    <t>Post PCR</t>
  </si>
  <si>
    <t>AÇIK</t>
  </si>
  <si>
    <t>X</t>
  </si>
  <si>
    <t>Tube box for 50 ml</t>
  </si>
  <si>
    <t>Depo Oda Isısı /Koridor1/Raf1-6</t>
  </si>
  <si>
    <t>MAS geniş lastik</t>
  </si>
  <si>
    <t>MAS</t>
  </si>
  <si>
    <t>5042022C</t>
  </si>
  <si>
    <t>Plastik DNA Saklama Kutusu (tırnaksız)</t>
  </si>
  <si>
    <t>Depo Oda Isısı /Koridor2/Raf1-5</t>
  </si>
  <si>
    <t>Rezervuar Tek Kullanımlık (5li paket)</t>
  </si>
  <si>
    <t>1.09.2029X2 10.2029X5</t>
  </si>
  <si>
    <t>Strip Tubes and Caps, 0.1 ml (250)</t>
  </si>
  <si>
    <t>QIAGEN</t>
  </si>
  <si>
    <t>Depo Oda Isısı /Koridor4</t>
  </si>
  <si>
    <t>QIAxcel DNA High Resolution Kit (1200)</t>
  </si>
  <si>
    <t>RxN</t>
  </si>
  <si>
    <t>22.09.2025X50 rxn 15.05.2026X120 rxn</t>
  </si>
  <si>
    <t>820-00002</t>
  </si>
  <si>
    <t>AVITI Buffer Bottle</t>
  </si>
  <si>
    <t>PCR</t>
  </si>
  <si>
    <t>F171403</t>
  </si>
  <si>
    <t>DF100ST</t>
  </si>
  <si>
    <t>Gilson</t>
  </si>
  <si>
    <t>Kutu (Kutu=10Rack)</t>
  </si>
  <si>
    <t>Depo Oda Isısı /Koridor2/Raf2-1-2-3-4-5</t>
  </si>
  <si>
    <t>1.02.2026X30 2024X44</t>
  </si>
  <si>
    <t>44 SABITA DEPO</t>
  </si>
  <si>
    <t>F171301</t>
  </si>
  <si>
    <t>D200ST</t>
  </si>
  <si>
    <t>Depo Oda Isısı /Koridor2/Raf3-1</t>
  </si>
  <si>
    <t>SABITA DEPO</t>
  </si>
  <si>
    <t>F171503</t>
  </si>
  <si>
    <t>DF200ST</t>
  </si>
  <si>
    <t>Depo Oda Isısı /Koridor2/Raf3-1-2-3-4</t>
  </si>
  <si>
    <t>F171501</t>
  </si>
  <si>
    <t>D1000ST</t>
  </si>
  <si>
    <t>Depo Oda Isısı /Koridor2/Raf3-4-5-6</t>
  </si>
  <si>
    <t>F171803</t>
  </si>
  <si>
    <t>DF1200ST, (10)</t>
  </si>
  <si>
    <t>Depo Oda Isısı /Koridor2/Raf3-6</t>
  </si>
  <si>
    <t>F171303</t>
  </si>
  <si>
    <t>DF30ST</t>
  </si>
  <si>
    <t>Depo Oda Isısı /Koridor3/Raf4-1-2</t>
  </si>
  <si>
    <t>1.03.2027X2028</t>
  </si>
  <si>
    <t>F171203</t>
  </si>
  <si>
    <t>DFL10ST</t>
  </si>
  <si>
    <t>Depo Oda Isısı /Koridor3/Raf4-2-3</t>
  </si>
  <si>
    <t>1.10.2026X2030</t>
  </si>
  <si>
    <t>RT LTS 20µL F 960A/10</t>
  </si>
  <si>
    <t>Rainin</t>
  </si>
  <si>
    <t>Depo Oda Isısı /Koridor3/Raf4-4-5</t>
  </si>
  <si>
    <t>SP-5-C</t>
  </si>
  <si>
    <t>Steril serological pipet-5ml</t>
  </si>
  <si>
    <t>CAPP</t>
  </si>
  <si>
    <t>Depo Oda Isısı /Koridor3/Raf4-6</t>
  </si>
  <si>
    <t>SP-10-C</t>
  </si>
  <si>
    <t>Steril serological pipet-10ml</t>
  </si>
  <si>
    <t>SP-25-C</t>
  </si>
  <si>
    <t>Steril serological pipet-25ml</t>
  </si>
  <si>
    <t>RT LTS 200µL F 960A/10</t>
  </si>
  <si>
    <t>Depo Oda Isısı /Koridor3/Raf5-1-2-3</t>
  </si>
  <si>
    <t>RT LTS 300µL S 768A/8</t>
  </si>
  <si>
    <t>Kutu (Kutu=8Rack)</t>
  </si>
  <si>
    <t>Depo Oda Isısı /Koridor3/Raf5-4-5</t>
  </si>
  <si>
    <t>RT LTS 300µL F 768A/8</t>
  </si>
  <si>
    <t>Depo Oda Isısı /Koridor3/Raf5-6</t>
  </si>
  <si>
    <t xml:space="preserve">MG272117 </t>
  </si>
  <si>
    <t>köpük kutu 27 x 21 x 17</t>
  </si>
  <si>
    <t>Qıagen</t>
  </si>
  <si>
    <t>AE1022</t>
  </si>
  <si>
    <t>Magnesia16 Whole blood DNA extraction kit -Anatolia</t>
  </si>
  <si>
    <t>Kutu
(96rxn/Kutu)</t>
  </si>
  <si>
    <t>D4068</t>
  </si>
  <si>
    <t>Quik DNA Miniprep Plus kit (50 preps)</t>
  </si>
  <si>
    <t>Zymo Research</t>
  </si>
  <si>
    <t xml:space="preserve">Kutu </t>
  </si>
  <si>
    <t>Sample Prep Cartridges, 8-well (336)</t>
  </si>
  <si>
    <t>8-Rod Covers (144)</t>
  </si>
  <si>
    <t>EZ1-2 DNA Blood 350 ul Kit (48)</t>
  </si>
  <si>
    <t>Filter-Tips, 1500 µl (1024)</t>
  </si>
  <si>
    <t>Filter-Tips, 200 ul (1024)</t>
  </si>
  <si>
    <t>QIAamp RNA Blood Mini Kit (50)</t>
  </si>
  <si>
    <t>QIAsymphony DSP DNA Mini Kit (192 test)</t>
  </si>
  <si>
    <t>Tubes Conical,2ml Qsym AS (500)</t>
  </si>
  <si>
    <t>Filter-Tips 1000ul (1024)</t>
  </si>
  <si>
    <t>Sample Tubes RB (2 ml) 1000</t>
  </si>
  <si>
    <t>Rotor Adapters (10x24)</t>
  </si>
  <si>
    <t>QIAamp DNA FFPE Advanced Kit (50)</t>
  </si>
  <si>
    <t>12331D</t>
  </si>
  <si>
    <t>DynaMag™-96 Side Magnet</t>
  </si>
  <si>
    <t>Depo Oda Isısı/Lab</t>
  </si>
  <si>
    <t>BigDye Terminator v3.1 Ready Reaction Cycle Sequencing Kit, 1000 rxn.</t>
  </si>
  <si>
    <t xml:space="preserve"> rxn</t>
  </si>
  <si>
    <t>Soğuk Oda  -20</t>
  </si>
  <si>
    <t>ABI BigDye Terminator v3.1 Cycle Sequencing Kit, 100 rxn</t>
  </si>
  <si>
    <t>31.03.2027X2 31.10.2026X1 31.07.2026X1</t>
  </si>
  <si>
    <t>ABI BigDye Terminator v3.1 BUFFER</t>
  </si>
  <si>
    <t>AmpFLSTR identifiler Plus PCR Amplification Kit Box/200 test</t>
  </si>
  <si>
    <t>GeneScan 600 LIZ Size Standart v2.0</t>
  </si>
  <si>
    <t>AmpFLSTR identifiler Plus PCR Amplification Kit Box/200 test beraber bedelsiz gelen kittir.</t>
  </si>
  <si>
    <t>MSQHLXCEBPA01</t>
  </si>
  <si>
    <t>CEBPA KITI 25 RXN</t>
  </si>
  <si>
    <t>Heliks</t>
  </si>
  <si>
    <t>Buzdolabı_1D (-20)</t>
  </si>
  <si>
    <t>FRGHLXNPM101</t>
  </si>
  <si>
    <t>NPM1 Somatik Mutasyon Kiti (25rxn)</t>
  </si>
  <si>
    <t xml:space="preserve"> 2.06.2026</t>
  </si>
  <si>
    <t>SL80396-50</t>
  </si>
  <si>
    <t>FLT3 Geni Mutasyon Analiz Kiti_Seqline (50rxn)</t>
  </si>
  <si>
    <t>SeQLine</t>
  </si>
  <si>
    <t>MS-103-1001</t>
  </si>
  <si>
    <t>MiSeq Reagent Nano Kit v2 (300-cycles)</t>
  </si>
  <si>
    <t>ILLUMINA</t>
  </si>
  <si>
    <t xml:space="preserve"> 10.08.2026(-20)x1 </t>
  </si>
  <si>
    <t>CDHS-12025Z-65 CFTR Qiaseq Targeted DNA Custom Panel (96)</t>
  </si>
  <si>
    <t>19.03.2026 (+4) x1 19.03.2026 (-20) x1</t>
  </si>
  <si>
    <t>DHS-102Z-96 BRCA 1- 2 Qiaseq Targeted DNA Human BRCA1 and BRCA2 Panel</t>
  </si>
  <si>
    <t>QIAseq Human Exome Kit (96)</t>
  </si>
  <si>
    <t>03.08.2026X1(-20) 03.08.2026X1 (+4)</t>
  </si>
  <si>
    <t>QIAseq Xhyb Mitochondrial Panel 96</t>
  </si>
  <si>
    <t>Sodium Hypochlorite Solution 500ml</t>
  </si>
  <si>
    <t>Sıgma</t>
  </si>
  <si>
    <t>Şişe</t>
  </si>
  <si>
    <t>Soğuk Oda +4</t>
  </si>
  <si>
    <t>820-00020</t>
  </si>
  <si>
    <t>AVITI 2X150 Sequencing Kit Cloudbreak FS High Output</t>
  </si>
  <si>
    <t xml:space="preserve"> 27.10.2026</t>
  </si>
  <si>
    <t>810-00003</t>
  </si>
  <si>
    <t>AVITI Flow Cell Cloudbreak FS</t>
  </si>
  <si>
    <t>3.06.2026X2 08.12.2026X3 9.12.2026X2</t>
  </si>
  <si>
    <t>820-00004</t>
  </si>
  <si>
    <t>Library Loading Buffer</t>
  </si>
  <si>
    <t>24.03.2026X2 08.01.2027X2 05.11.2026X3</t>
  </si>
  <si>
    <t>QIAseq FX DNA Library UDI-A Kit (Core + Adapter)</t>
  </si>
  <si>
    <t>QIAseq FX DNA Library UDI-B Kit (Core + Adapter)</t>
  </si>
  <si>
    <t>Soğuk Oda  -21</t>
  </si>
  <si>
    <t>QX Alignment Marker 15 bp/10 kb (1.5 ml)</t>
  </si>
  <si>
    <t>QX DNA Size Marker 100 bp - 2.5kb(50 μl)</t>
  </si>
  <si>
    <t>QIAseq 96-Index I Set A (384)</t>
  </si>
  <si>
    <t>EC-250</t>
  </si>
  <si>
    <t>Geneid ExoClean, 250 rxn</t>
  </si>
  <si>
    <t>GENEİD</t>
  </si>
  <si>
    <t>1.05.2026X3 05.2027X4</t>
  </si>
  <si>
    <t>M7123</t>
  </si>
  <si>
    <t xml:space="preserve">100 bp DNA Ladder </t>
  </si>
  <si>
    <t>Biomatik</t>
  </si>
  <si>
    <t>SM0311</t>
  </si>
  <si>
    <t>GeneRuler 1 kb DNA Ladder 5x50 ug</t>
  </si>
  <si>
    <t>Thermo</t>
  </si>
  <si>
    <t>Paket
(Paket=3 tüp)</t>
  </si>
  <si>
    <t xml:space="preserve">R0611 </t>
  </si>
  <si>
    <t>6X DNA loading Dye</t>
  </si>
  <si>
    <t xml:space="preserve">Thermo </t>
  </si>
  <si>
    <t>1.10.2027X1 09.2029X1</t>
  </si>
  <si>
    <t>78202.4X.1.ML</t>
  </si>
  <si>
    <t>ExoSap-IT 2000rxn</t>
  </si>
  <si>
    <t>ABPA12</t>
  </si>
  <si>
    <t>PAI1 4G/5G kiti (1 kutu-50 rxn)</t>
  </si>
  <si>
    <t>rxn</t>
  </si>
  <si>
    <t>AB1298</t>
  </si>
  <si>
    <t>MTHFR A1298C kiti (25 rxn)</t>
  </si>
  <si>
    <t>AB6778</t>
  </si>
  <si>
    <t>MTHFR C677T kiti (1 kutu-50 rxn)</t>
  </si>
  <si>
    <t>ABFVL8</t>
  </si>
  <si>
    <t>FAKTÖR V LEIDEN kiti (1 kutu-50 rxn)</t>
  </si>
  <si>
    <t>1.04.2026X2 07.2027X1</t>
  </si>
  <si>
    <t>ABPRO8</t>
  </si>
  <si>
    <t>Prothrombin Detection Kit v3 50rxn</t>
  </si>
  <si>
    <t>SL80198-100</t>
  </si>
  <si>
    <t>CYP21A2 Tanı Kiti (100rxn)</t>
  </si>
  <si>
    <t>RT-CVD-ALL-25</t>
  </si>
  <si>
    <t>CVD 12 mutasyon paneli (25rxn)</t>
  </si>
  <si>
    <t>Octo</t>
  </si>
  <si>
    <t xml:space="preserve">FX9202C </t>
  </si>
  <si>
    <t>FRAXA PCR Kit, 100 rxn _FX9202C FrajilX</t>
  </si>
  <si>
    <t>LabGscan</t>
  </si>
  <si>
    <t>Buzdolabı _1D (-20)</t>
  </si>
  <si>
    <t>503R-10-01</t>
  </si>
  <si>
    <t>HLA B51 kiti -HLA Behcet (20 rxn)</t>
  </si>
  <si>
    <t>SNP</t>
  </si>
  <si>
    <t>502R-10-01</t>
  </si>
  <si>
    <t>HLA B5 kiti -HLA Behcet (20 rxn)</t>
  </si>
  <si>
    <t>501R-10-01</t>
  </si>
  <si>
    <t>HLA B27 REAL TIME PCR KİTİ (20 rxn)</t>
  </si>
  <si>
    <t>Soğuk Oda -20</t>
  </si>
  <si>
    <t>15.07.2026X1 15.12.2026X5</t>
  </si>
  <si>
    <t>HiDi Formamide (25ml)</t>
  </si>
  <si>
    <t>BIO-39044</t>
  </si>
  <si>
    <t>dNTP Mix, 10mM Final Conc.</t>
  </si>
  <si>
    <t>ARDİ</t>
  </si>
  <si>
    <t>MyTaq HS RED DNA Polymerase 1000 units</t>
  </si>
  <si>
    <t>BIOLINE</t>
  </si>
  <si>
    <t>1.05.2027X1 07.2027X1 11.2027X2</t>
  </si>
  <si>
    <t>AM9510</t>
  </si>
  <si>
    <t>Glycogen</t>
  </si>
  <si>
    <t>IDH1/2-RT25</t>
  </si>
  <si>
    <t>geneMAP IDH1/2 Mutations Detection Kit</t>
  </si>
  <si>
    <t>Genmark</t>
  </si>
  <si>
    <t>BCR230</t>
  </si>
  <si>
    <t>BCR-ABL1 p230(μbcr) Detection Kit (48)</t>
  </si>
  <si>
    <t>GeneMAP</t>
  </si>
  <si>
    <t>BCR-ABL1 Mbcr (4.5 log) RGQ RT-PCR Kit / 110 reaksiyon</t>
  </si>
  <si>
    <t xml:space="preserve">  23.03.2026</t>
  </si>
  <si>
    <t>BCR-ABL1 mbcr kit</t>
  </si>
  <si>
    <t>t(15;17) PML-RARA -bcr1</t>
  </si>
  <si>
    <t>t(15;17) PML-RARA -bcr2</t>
  </si>
  <si>
    <t>t(15;17) PML-RARA -bcr3</t>
  </si>
  <si>
    <t>Artegen MLL-AF4 (4;11) quantitative RT-qPCR kit (25 RXN)</t>
  </si>
  <si>
    <t>ARTEGEN</t>
  </si>
  <si>
    <t>RUNX1-RUNXT1 Kit t (8;21)</t>
  </si>
  <si>
    <t>ATQ</t>
  </si>
  <si>
    <t>İNV16 CBFB-MYH11</t>
  </si>
  <si>
    <t>F4908</t>
  </si>
  <si>
    <t>Y Micro Fragpure Kit (50rxn)</t>
  </si>
  <si>
    <t>MAYGEN</t>
  </si>
  <si>
    <t>JAK2 MutaQuant kit CE</t>
  </si>
  <si>
    <t>SMN1M-RT50</t>
  </si>
  <si>
    <t>geneMAP SMN1 Exon7/8 tarama kiti, 50T</t>
  </si>
  <si>
    <t>Genom</t>
  </si>
  <si>
    <t>90085-RT</t>
  </si>
  <si>
    <t>EliGene Coelic DQ PLUS kit 50rxn</t>
  </si>
  <si>
    <t>EliGene</t>
  </si>
  <si>
    <t>F2412</t>
  </si>
  <si>
    <t>QF Fragpure Kit</t>
  </si>
  <si>
    <t>F2756-100</t>
  </si>
  <si>
    <t>MEFV FRAGPURE KİT_v.2.1_TEST IT_100rxn</t>
  </si>
  <si>
    <t>1.11.2026X1 01.2027X1</t>
  </si>
  <si>
    <t>S4756-25</t>
  </si>
  <si>
    <t>HFE SEQPURE KİT (25)</t>
  </si>
  <si>
    <t xml:space="preserve">F4599-100 </t>
  </si>
  <si>
    <t>THROMBO FRAGPURE KİT (100)</t>
  </si>
  <si>
    <t>1.11.2026X1 01.2027X2</t>
  </si>
  <si>
    <t>S3435</t>
  </si>
  <si>
    <t>FRAG STANDARDİZER_v.2.0_100rxn</t>
  </si>
  <si>
    <t>Soğuk Oda 4</t>
  </si>
  <si>
    <t>1.10.2026X1 11.2026X6 02.2027X2</t>
  </si>
  <si>
    <t>EK1-FAM</t>
  </si>
  <si>
    <t>Salsa MLPA reagents for 100 reactions</t>
  </si>
  <si>
    <t>İnvitrotek</t>
  </si>
  <si>
    <t>10.2027X3 04.2028X11 04.2027X3 06.2027X1 YOKX1</t>
  </si>
  <si>
    <t>P060-050R</t>
  </si>
  <si>
    <t>Salsa MLPA kit SMA carrier</t>
  </si>
  <si>
    <t xml:space="preserve"> Kutu                         </t>
  </si>
  <si>
    <t>SMR-50</t>
  </si>
  <si>
    <t>Salsa Hhal 115 ul</t>
  </si>
  <si>
    <t>SD-067</t>
  </si>
  <si>
    <t>Salsa Binning DNA</t>
  </si>
  <si>
    <t>SD-084</t>
  </si>
  <si>
    <t>SALSA Reference Selection Binning DNA</t>
  </si>
  <si>
    <t>P065-025R</t>
  </si>
  <si>
    <t>SALSA MLPA Marfan Syndrome 1</t>
  </si>
  <si>
    <t>P066-025R</t>
  </si>
  <si>
    <t>SALSA MLPA Marfan Syndrome 2</t>
  </si>
  <si>
    <t>P140-025R</t>
  </si>
  <si>
    <t>SALSA MLPA HBA probemix 25R</t>
  </si>
  <si>
    <t>P460-25R</t>
  </si>
  <si>
    <t>SALSA MLPA Probemix P460 SMA (Silent) Carrier</t>
  </si>
  <si>
    <t>P002-25R</t>
  </si>
  <si>
    <t>Salsa MLPA BRCA1, 25 RxN</t>
  </si>
  <si>
    <t>P045-25R</t>
  </si>
  <si>
    <t xml:space="preserve"> Salsa MLPA BRCA2/CHEK2, 25 RxN</t>
  </si>
  <si>
    <t>P034-025R</t>
  </si>
  <si>
    <t>Salsa MLPA Kit DMD1</t>
  </si>
  <si>
    <t>P035-25R</t>
  </si>
  <si>
    <t>Salsa MLPA Kit DMD2</t>
  </si>
  <si>
    <t>P081-25R</t>
  </si>
  <si>
    <t>SALSA MLPA Probemix NF1 mix 1 (25 rxn)</t>
  </si>
  <si>
    <t>P081-50R</t>
  </si>
  <si>
    <t>SALSA MLPA Probemix NF1 mix 1 (50 rxn)</t>
  </si>
  <si>
    <t>P082-25R</t>
  </si>
  <si>
    <t>SALSA MLPA Probemix NF1 mix 2 (25 rxn)</t>
  </si>
  <si>
    <t>P082-50R</t>
  </si>
  <si>
    <t>SALSA MLPA Probemix NF1 mix 2 (50 rxn)</t>
  </si>
  <si>
    <t>P033-25R</t>
  </si>
  <si>
    <t>SALSA MLPA Probemix CMT1 (25 rxn)</t>
  </si>
  <si>
    <t>P033-50R</t>
  </si>
  <si>
    <t>SALSA MLPA Probemix CMT1 (50 rxn)</t>
  </si>
  <si>
    <t>P091-25R</t>
  </si>
  <si>
    <t>SALSA MLPA Probemix CFTR (25 rxn)</t>
  </si>
  <si>
    <t>1.09.2026X2 03.2029X1</t>
  </si>
  <si>
    <t>P091-50R</t>
  </si>
  <si>
    <t>SALSA MLPA Probemix CFTR (50 rxn)</t>
  </si>
  <si>
    <t>P050-25R</t>
  </si>
  <si>
    <t>SALSA MLPA Probemix  CAH (25 rxn)</t>
  </si>
  <si>
    <t>ME028-25R</t>
  </si>
  <si>
    <t>SALSA MLPA Probemix  Prader Willi/Angelman (25 rxn)</t>
  </si>
  <si>
    <t>ME028-50R</t>
  </si>
  <si>
    <t>SALSA MLPA Probemix  Prader Willi/Angelman (50 rxn)</t>
  </si>
  <si>
    <t>ME030-25R</t>
  </si>
  <si>
    <t>SALSA MLPA Probemix ME030 BWS/RSS</t>
  </si>
  <si>
    <t>30.01.2029X4 (25rxn)</t>
  </si>
  <si>
    <t>P335-025R</t>
  </si>
  <si>
    <t>SALSA MLPA Probemix P335 ALL-IKZF1 – 25 rxn</t>
  </si>
  <si>
    <t>İntron</t>
  </si>
  <si>
    <t xml:space="preserve"> 30.10.2029</t>
  </si>
  <si>
    <t>P003</t>
  </si>
  <si>
    <t>SALSA MLPA Probemix MLH1/MSH2 (25 rxn)</t>
  </si>
  <si>
    <t>RT-Dx Kit 33 (CE) cDNA kiti</t>
  </si>
  <si>
    <t xml:space="preserve"> 30.07.2027X6 16.04.2027X4</t>
  </si>
  <si>
    <t>Quantitect Probe PCR Kit (200)</t>
  </si>
  <si>
    <t>AmpliTaq Gold™ 360 Master Mix, 5 mL,</t>
  </si>
  <si>
    <t>kutu</t>
  </si>
  <si>
    <t>Anode Buffer Container (ABC) 3500 Series</t>
  </si>
  <si>
    <t xml:space="preserve"> 25.11.2026X1 16.01.2027X1</t>
  </si>
  <si>
    <t>Cathode Buffer Container (CBC) 3500 Series</t>
  </si>
  <si>
    <t xml:space="preserve"> 07.11.2026X1 28.01.2027X1</t>
  </si>
  <si>
    <t>MyFi DNA Polymerase (500 Units)</t>
  </si>
  <si>
    <t>Meridian</t>
  </si>
  <si>
    <t>1.07.2027X3 12.2027X1</t>
  </si>
  <si>
    <t>B0300-1VL</t>
  </si>
  <si>
    <t>Betain Solution</t>
  </si>
  <si>
    <t xml:space="preserve">Sigma Aldrich </t>
  </si>
  <si>
    <t xml:space="preserve">Yok </t>
  </si>
  <si>
    <t>POP-7 Polymer for 3500/3500xL, 384 samples</t>
  </si>
  <si>
    <t>Soğuk oda 4</t>
  </si>
  <si>
    <t>GeneScan 500 LIZ dye Size Standart</t>
  </si>
  <si>
    <t>8-A402</t>
  </si>
  <si>
    <t>560 SIZER Orange (Liz 560)</t>
  </si>
  <si>
    <t>Devyser</t>
  </si>
  <si>
    <t>Q32854</t>
  </si>
  <si>
    <t>Qubit dsDNA HS assay Kit</t>
  </si>
  <si>
    <t>invitrogen</t>
  </si>
  <si>
    <t>Q32853</t>
  </si>
  <si>
    <t>Qubit dsDNA BR assay Kit</t>
  </si>
  <si>
    <t>A63881</t>
  </si>
  <si>
    <t>Agencourt AMPure XP, 60 mL Ref:A63881</t>
  </si>
  <si>
    <t>Beckman</t>
  </si>
  <si>
    <t>MM-1000XL-ROX</t>
  </si>
  <si>
    <t xml:space="preserve">ROX X-Rhotomanısa 400ul </t>
  </si>
  <si>
    <t>Soğuk Oda 5</t>
  </si>
  <si>
    <t>D9170-1VL</t>
  </si>
  <si>
    <t>Dimethyl Suffoxide 1 vl (x10)</t>
  </si>
  <si>
    <t>Kimya Dolabı Oda Isısı</t>
  </si>
  <si>
    <t>M30440500</t>
  </si>
  <si>
    <t>Agarose LE 500</t>
  </si>
  <si>
    <t>Genaxxon</t>
  </si>
  <si>
    <t>%100 ethanol (2.5 L)</t>
  </si>
  <si>
    <t>Merck</t>
  </si>
  <si>
    <t>T1503-1 kg</t>
  </si>
  <si>
    <t>Trizma Base</t>
  </si>
  <si>
    <t xml:space="preserve"> Şişe</t>
  </si>
  <si>
    <t>Sodium acetate trihydrate</t>
  </si>
  <si>
    <t>BP120-500</t>
  </si>
  <si>
    <t>EDTA (Ethylenediaminetetraacetic acid, disodium salt dihydrate)</t>
  </si>
  <si>
    <t>Fisher Scientific</t>
  </si>
  <si>
    <t>1.05614.2500</t>
  </si>
  <si>
    <t xml:space="preserve">Sodium hypochlorite solution </t>
  </si>
  <si>
    <t>24137-2.5L-R</t>
  </si>
  <si>
    <t>2 Propanol</t>
  </si>
  <si>
    <t>A4031 - 500 mL</t>
  </si>
  <si>
    <t>Tween20</t>
  </si>
  <si>
    <t>Trizol Reagent 200 mL</t>
  </si>
  <si>
    <t xml:space="preserve">Ambion </t>
  </si>
  <si>
    <t>A2008 250 ML</t>
  </si>
  <si>
    <t>2-mercaptoethanol</t>
  </si>
  <si>
    <t>TK06040801001</t>
  </si>
  <si>
    <t>Hydrogen Peroksit H2O2</t>
  </si>
  <si>
    <t>Tekkim</t>
  </si>
  <si>
    <t xml:space="preserve">Xylene </t>
  </si>
  <si>
    <t>JT Baker</t>
  </si>
  <si>
    <t>Depo</t>
  </si>
  <si>
    <t>Birim</t>
  </si>
  <si>
    <t>8-A035</t>
  </si>
  <si>
    <t>Thrombophılıa (48 test) fragment analizi</t>
  </si>
  <si>
    <t>1 adet açık</t>
  </si>
  <si>
    <t>P1062</t>
  </si>
  <si>
    <t>Long Taq DNA Polymerase w/dNTP, 250 U</t>
  </si>
  <si>
    <t>GDSBIO</t>
  </si>
  <si>
    <t>GeneScan 600 LIZ Size Standart</t>
  </si>
  <si>
    <t>GT-11301-100</t>
  </si>
  <si>
    <t>GT AZFScreen</t>
  </si>
  <si>
    <t>GENETEK</t>
  </si>
  <si>
    <t xml:space="preserve">BIO-25006 </t>
  </si>
  <si>
    <t>BioMix Red 2X (500 rxn)</t>
  </si>
  <si>
    <t>12.2022X3 08.2021X1</t>
  </si>
  <si>
    <t>THR6-RT50</t>
  </si>
  <si>
    <t xml:space="preserve">geneMAP Trombofili 6'lı Panel, 50T </t>
  </si>
  <si>
    <t>Açık</t>
  </si>
  <si>
    <t>ABF138</t>
  </si>
  <si>
    <t>FAKTÖR XIII V34L (50rxn)</t>
  </si>
  <si>
    <t>Reax</t>
  </si>
  <si>
    <t>1.08.2024X1 01.2022X2 04.2023X1</t>
  </si>
  <si>
    <t>ocak 20 22</t>
  </si>
  <si>
    <t>ABFVH2</t>
  </si>
  <si>
    <t>Faktor V H1299R Mutasyon Analizi Kiti</t>
  </si>
  <si>
    <t>30.08.2025 miadlı var.</t>
  </si>
  <si>
    <t>ETV6-RUNX1 Kit</t>
  </si>
  <si>
    <t>M0323L</t>
  </si>
  <si>
    <t>LongAmp taq DNA Polymerase</t>
  </si>
  <si>
    <t>NEB</t>
  </si>
  <si>
    <t>MSQHLXFLT3</t>
  </si>
  <si>
    <t>FLT3 25RXN</t>
  </si>
  <si>
    <t>HELIKS</t>
  </si>
  <si>
    <t> </t>
  </si>
  <si>
    <t>NextSeq Accessory Box v2</t>
  </si>
  <si>
    <t>NexSeq Mid Output Flow Cell Cartridge v2.5</t>
  </si>
  <si>
    <t>MS-102-2002</t>
  </si>
  <si>
    <t xml:space="preserve">Miseq Reagent Kit V2 (300 cycle) </t>
  </si>
  <si>
    <t>Set</t>
  </si>
  <si>
    <t>-20 kartuşları ana sayfada miadı geçen +4 dür</t>
  </si>
  <si>
    <t>ROX X-Rhotomanısa 200ul</t>
  </si>
  <si>
    <t>RANGER DNA Polymerase 500 unıts</t>
  </si>
  <si>
    <t>ROX Referenca Dye</t>
  </si>
  <si>
    <t>TEKKİM</t>
  </si>
  <si>
    <t>BİGDYE</t>
  </si>
  <si>
    <t>NP041114010</t>
  </si>
  <si>
    <t>100bp Ladder 30ul</t>
  </si>
  <si>
    <t>NEPENTHE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</si>
</sst>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1"/>
      <color theme="1"/>
      <name val="Calibri"/>
      <family val="2"/>
      <scheme val="minor"/>
    </font>
    <font>
      <b/>
      <sz val="11"/>
      <color rgb="FFFFFFFF"/>
      <name val="Times New Roman"/>
      <family val="1"/>
      <charset val="162"/>
    </font>
    <font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118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4" fontId="7" fillId="5" borderId="1" xfId="1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14" fontId="8" fillId="5" borderId="3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8" fillId="5" borderId="3" xfId="0" applyFont="1" applyFill="1" applyBorder="1" applyAlignment="1">
      <alignment horizontal="center" vertical="center"/>
    </xf>
    <xf numFmtId="14" fontId="8" fillId="5" borderId="3" xfId="0" applyNumberFormat="1" applyFont="1" applyFill="1" applyBorder="1" applyAlignment="1">
      <alignment horizontal="center" vertical="center"/>
    </xf>
    <xf numFmtId="14" fontId="8" fillId="5" borderId="16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4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2" fillId="7" borderId="14" xfId="0" applyFont="1" applyFill="1" applyBorder="1" applyAlignment="1">
      <alignment horizontal="center" vertical="center" wrapText="1"/>
    </xf>
    <xf numFmtId="14" fontId="12" fillId="7" borderId="14" xfId="0" applyNumberFormat="1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3" fontId="11" fillId="0" borderId="14" xfId="0" applyNumberFormat="1" applyFont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14" fontId="11" fillId="0" borderId="14" xfId="0" applyNumberFormat="1" applyFont="1" applyBorder="1" applyAlignment="1">
      <alignment horizontal="center" vertical="center" wrapText="1"/>
    </xf>
    <xf numFmtId="0" fontId="11" fillId="8" borderId="0" xfId="0" applyFont="1" applyFill="1" applyAlignment="1">
      <alignment horizontal="left" vertical="center"/>
    </xf>
    <xf numFmtId="3" fontId="11" fillId="7" borderId="14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7" borderId="12" xfId="0" applyFont="1" applyFill="1" applyBorder="1" applyAlignment="1">
      <alignment horizontal="center" vertical="center" wrapText="1"/>
    </xf>
    <xf numFmtId="14" fontId="11" fillId="7" borderId="12" xfId="0" applyNumberFormat="1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3" fontId="11" fillId="7" borderId="15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14" fontId="11" fillId="7" borderId="14" xfId="0" applyNumberFormat="1" applyFont="1" applyFill="1" applyBorder="1" applyAlignment="1">
      <alignment horizontal="center" vertical="center" wrapText="1"/>
    </xf>
    <xf numFmtId="3" fontId="11" fillId="0" borderId="14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14" fontId="11" fillId="0" borderId="15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1" fontId="7" fillId="0" borderId="15" xfId="0" applyNumberFormat="1" applyFont="1" applyBorder="1" applyAlignment="1">
      <alignment horizontal="center" vertical="center" wrapText="1"/>
    </xf>
    <xf numFmtId="14" fontId="7" fillId="0" borderId="15" xfId="0" applyNumberFormat="1" applyFont="1" applyBorder="1" applyAlignment="1">
      <alignment horizontal="center"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top" wrapText="1" indent="1"/>
    </xf>
    <xf numFmtId="0" fontId="3" fillId="3" borderId="9" xfId="0" applyFont="1" applyFill="1" applyBorder="1" applyAlignment="1">
      <alignment horizontal="left" vertical="top" wrapText="1" indent="1"/>
    </xf>
    <xf numFmtId="0" fontId="3" fillId="3" borderId="10" xfId="0" applyFont="1" applyFill="1" applyBorder="1" applyAlignment="1">
      <alignment horizontal="left" vertical="top" wrapText="1" indent="1"/>
    </xf>
    <xf numFmtId="0" fontId="3" fillId="3" borderId="11" xfId="0" applyFont="1" applyFill="1" applyBorder="1" applyAlignment="1">
      <alignment horizontal="left" vertical="top" wrapText="1" indent="1"/>
    </xf>
    <xf numFmtId="0" fontId="3" fillId="3" borderId="0" xfId="0" applyFont="1" applyFill="1" applyAlignment="1">
      <alignment horizontal="left" vertical="top" wrapText="1" indent="1"/>
    </xf>
    <xf numFmtId="0" fontId="3" fillId="3" borderId="12" xfId="0" applyFont="1" applyFill="1" applyBorder="1" applyAlignment="1">
      <alignment horizontal="left" vertical="top" wrapText="1" indent="1"/>
    </xf>
    <xf numFmtId="0" fontId="3" fillId="3" borderId="13" xfId="0" applyFont="1" applyFill="1" applyBorder="1" applyAlignment="1">
      <alignment horizontal="left" vertical="top" wrapText="1" indent="1"/>
    </xf>
    <xf numFmtId="0" fontId="3" fillId="3" borderId="5" xfId="0" applyFont="1" applyFill="1" applyBorder="1" applyAlignment="1">
      <alignment horizontal="left" vertical="top" wrapText="1" indent="1"/>
    </xf>
    <xf numFmtId="0" fontId="3" fillId="3" borderId="14" xfId="0" applyFont="1" applyFill="1" applyBorder="1" applyAlignment="1">
      <alignment horizontal="left" vertical="top" wrapText="1" indent="1"/>
    </xf>
    <xf numFmtId="0" fontId="3" fillId="3" borderId="8" xfId="0" applyFont="1" applyFill="1" applyBorder="1" applyAlignment="1">
      <alignment horizontal="left" vertical="center" wrapText="1" indent="1"/>
    </xf>
    <xf numFmtId="0" fontId="3" fillId="3" borderId="9" xfId="0" applyFont="1" applyFill="1" applyBorder="1" applyAlignment="1">
      <alignment horizontal="left" vertical="center" wrapText="1" indent="1"/>
    </xf>
    <xf numFmtId="0" fontId="3" fillId="3" borderId="10" xfId="0" applyFont="1" applyFill="1" applyBorder="1" applyAlignment="1">
      <alignment horizontal="left" vertical="center" wrapText="1" indent="1"/>
    </xf>
    <xf numFmtId="0" fontId="3" fillId="3" borderId="13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3" fillId="3" borderId="14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top" wrapText="1" indent="1"/>
    </xf>
  </cellXfs>
  <cellStyles count="2">
    <cellStyle name="Kötü" xfId="1" builtinId="27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361950</xdr:colOff>
      <xdr:row>0</xdr:row>
      <xdr:rowOff>749300</xdr:rowOff>
    </xdr:to>
    <xdr:pic>
      <xdr:nvPicPr>
        <xdr:cNvPr id="4" name="Resim 1">
          <a:extLst>
            <a:ext uri="{FF2B5EF4-FFF2-40B4-BE49-F238E27FC236}">
              <a16:creationId xmlns:a16="http://schemas.microsoft.com/office/drawing/2014/main" id="{CC2F4192-4B12-4946-A832-1C4CB1453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180022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"/>
  <sheetViews>
    <sheetView tabSelected="1" zoomScaleNormal="100" zoomScalePageLayoutView="90" workbookViewId="0">
      <selection activeCell="S15" sqref="S15"/>
    </sheetView>
  </sheetViews>
  <sheetFormatPr defaultColWidth="8.81640625" defaultRowHeight="14.5" x14ac:dyDescent="0.35"/>
  <cols>
    <col min="1" max="1" width="6.26953125" customWidth="1"/>
    <col min="2" max="2" width="15.26953125" customWidth="1"/>
    <col min="3" max="3" width="60.54296875" customWidth="1"/>
    <col min="4" max="4" width="11.81640625" customWidth="1"/>
    <col min="5" max="6" width="12.26953125" customWidth="1"/>
    <col min="7" max="7" width="14.54296875" bestFit="1" customWidth="1"/>
    <col min="8" max="8" width="16" bestFit="1" customWidth="1"/>
    <col min="9" max="9" width="11.26953125" customWidth="1"/>
    <col min="10" max="10" width="11.1796875" customWidth="1"/>
    <col min="11" max="11" width="12.26953125" customWidth="1"/>
    <col min="12" max="12" width="13.7265625" bestFit="1" customWidth="1"/>
  </cols>
  <sheetData>
    <row r="1" spans="1:12" ht="62.5" customHeight="1" x14ac:dyDescent="0.35">
      <c r="A1" s="98"/>
      <c r="B1" s="98"/>
      <c r="C1" s="98"/>
      <c r="D1" s="99" t="s">
        <v>0</v>
      </c>
      <c r="E1" s="100"/>
      <c r="F1" s="100"/>
      <c r="G1" s="100"/>
      <c r="H1" s="100"/>
      <c r="I1" s="100"/>
      <c r="J1" s="100"/>
      <c r="K1" s="100"/>
      <c r="L1" s="101"/>
    </row>
    <row r="2" spans="1:12" ht="10.9" customHeight="1" x14ac:dyDescent="0.3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7.65" customHeight="1" x14ac:dyDescent="0.35">
      <c r="A3" s="102" t="s">
        <v>1</v>
      </c>
      <c r="B3" s="103"/>
      <c r="C3" s="103"/>
      <c r="D3" s="103"/>
      <c r="E3" s="103"/>
      <c r="F3" s="104"/>
      <c r="G3" s="117" t="s">
        <v>2</v>
      </c>
      <c r="H3" s="117"/>
      <c r="I3" s="102" t="s">
        <v>3</v>
      </c>
      <c r="J3" s="103"/>
      <c r="K3" s="103"/>
      <c r="L3" s="104"/>
    </row>
    <row r="4" spans="1:12" ht="27.65" customHeight="1" x14ac:dyDescent="0.35">
      <c r="A4" s="105"/>
      <c r="B4" s="106"/>
      <c r="C4" s="106"/>
      <c r="D4" s="106"/>
      <c r="E4" s="106"/>
      <c r="F4" s="107"/>
      <c r="G4" s="117"/>
      <c r="H4" s="117"/>
      <c r="I4" s="105"/>
      <c r="J4" s="106"/>
      <c r="K4" s="106"/>
      <c r="L4" s="107"/>
    </row>
    <row r="5" spans="1:12" ht="14.5" customHeight="1" x14ac:dyDescent="0.35">
      <c r="A5" s="105"/>
      <c r="B5" s="106"/>
      <c r="C5" s="106"/>
      <c r="D5" s="106"/>
      <c r="E5" s="106"/>
      <c r="F5" s="107"/>
      <c r="G5" s="117"/>
      <c r="H5" s="117"/>
      <c r="I5" s="108"/>
      <c r="J5" s="109"/>
      <c r="K5" s="109"/>
      <c r="L5" s="110"/>
    </row>
    <row r="6" spans="1:12" ht="14.5" customHeight="1" x14ac:dyDescent="0.35">
      <c r="A6" s="105"/>
      <c r="B6" s="106"/>
      <c r="C6" s="106"/>
      <c r="D6" s="106"/>
      <c r="E6" s="106"/>
      <c r="F6" s="107"/>
      <c r="G6" s="117"/>
      <c r="H6" s="117"/>
      <c r="I6" s="111" t="s">
        <v>4</v>
      </c>
      <c r="J6" s="112"/>
      <c r="K6" s="112"/>
      <c r="L6" s="113"/>
    </row>
    <row r="7" spans="1:12" ht="14.5" customHeight="1" x14ac:dyDescent="0.35">
      <c r="A7" s="108"/>
      <c r="B7" s="109"/>
      <c r="C7" s="109"/>
      <c r="D7" s="109"/>
      <c r="E7" s="109"/>
      <c r="F7" s="110"/>
      <c r="G7" s="117"/>
      <c r="H7" s="117"/>
      <c r="I7" s="114"/>
      <c r="J7" s="115"/>
      <c r="K7" s="115"/>
      <c r="L7" s="116"/>
    </row>
    <row r="8" spans="1:12" ht="10.9" customHeight="1" x14ac:dyDescent="0.35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</row>
    <row r="9" spans="1:12" ht="67.150000000000006" customHeight="1" x14ac:dyDescent="0.35">
      <c r="A9" s="1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2" t="s">
        <v>16</v>
      </c>
    </row>
    <row r="10" spans="1:12" s="15" customFormat="1" ht="45.65" customHeight="1" x14ac:dyDescent="0.35">
      <c r="A10" s="5">
        <v>1</v>
      </c>
      <c r="B10" s="11">
        <v>605001</v>
      </c>
      <c r="C10" s="11" t="s">
        <v>17</v>
      </c>
      <c r="D10" s="11" t="s">
        <v>18</v>
      </c>
      <c r="E10" s="11">
        <v>13</v>
      </c>
      <c r="F10" s="11" t="s">
        <v>19</v>
      </c>
      <c r="G10" s="11" t="s">
        <v>20</v>
      </c>
      <c r="H10" s="11" t="s">
        <v>21</v>
      </c>
      <c r="I10" s="11">
        <v>1</v>
      </c>
      <c r="J10" s="11">
        <v>2</v>
      </c>
      <c r="K10" s="11">
        <v>3</v>
      </c>
      <c r="L10" s="14" t="str">
        <f>IF(E10&lt;J10,"SATINAL","YETERLİ")</f>
        <v>YETERLİ</v>
      </c>
    </row>
    <row r="11" spans="1:12" ht="45.65" customHeight="1" x14ac:dyDescent="0.35">
      <c r="A11" s="20">
        <v>2</v>
      </c>
      <c r="B11" s="20">
        <v>43944</v>
      </c>
      <c r="C11" s="20" t="s">
        <v>22</v>
      </c>
      <c r="D11" s="20" t="s">
        <v>23</v>
      </c>
      <c r="E11" s="20">
        <v>2</v>
      </c>
      <c r="F11" s="20" t="s">
        <v>24</v>
      </c>
      <c r="G11" s="20" t="s">
        <v>20</v>
      </c>
      <c r="H11" s="23" t="s">
        <v>25</v>
      </c>
      <c r="I11" s="24">
        <v>2</v>
      </c>
      <c r="J11" s="20">
        <v>3</v>
      </c>
      <c r="K11" s="20">
        <v>6</v>
      </c>
      <c r="L11" s="22" t="str">
        <f t="shared" ref="L11:L74" si="0">IF(E11&lt;J11,"SATINAL","YETERLİ")</f>
        <v>SATINAL</v>
      </c>
    </row>
    <row r="12" spans="1:12" ht="45.65" customHeight="1" x14ac:dyDescent="0.35">
      <c r="A12" s="20">
        <v>3</v>
      </c>
      <c r="B12" s="21" t="s">
        <v>26</v>
      </c>
      <c r="C12" s="21" t="s">
        <v>27</v>
      </c>
      <c r="D12" s="21" t="s">
        <v>28</v>
      </c>
      <c r="E12" s="21">
        <v>5</v>
      </c>
      <c r="F12" s="21" t="s">
        <v>24</v>
      </c>
      <c r="G12" s="21" t="s">
        <v>20</v>
      </c>
      <c r="H12" s="21" t="s">
        <v>25</v>
      </c>
      <c r="I12" s="21">
        <v>2</v>
      </c>
      <c r="J12" s="21">
        <v>3</v>
      </c>
      <c r="K12" s="21">
        <v>6</v>
      </c>
      <c r="L12" s="22" t="str">
        <f t="shared" si="0"/>
        <v>YETERLİ</v>
      </c>
    </row>
    <row r="13" spans="1:12" ht="45.65" customHeight="1" x14ac:dyDescent="0.35">
      <c r="A13" s="20">
        <v>4</v>
      </c>
      <c r="B13" s="20">
        <v>620011</v>
      </c>
      <c r="C13" s="20" t="s">
        <v>29</v>
      </c>
      <c r="D13" s="20" t="s">
        <v>30</v>
      </c>
      <c r="E13" s="20">
        <v>2</v>
      </c>
      <c r="F13" s="20" t="s">
        <v>31</v>
      </c>
      <c r="G13" s="20" t="s">
        <v>20</v>
      </c>
      <c r="H13" s="23">
        <v>46569</v>
      </c>
      <c r="I13" s="24">
        <v>1</v>
      </c>
      <c r="J13" s="20">
        <v>1</v>
      </c>
      <c r="K13" s="20">
        <v>2</v>
      </c>
      <c r="L13" s="22" t="str">
        <f t="shared" si="0"/>
        <v>YETERLİ</v>
      </c>
    </row>
    <row r="14" spans="1:12" ht="45.65" customHeight="1" x14ac:dyDescent="0.35">
      <c r="A14" s="20">
        <v>5</v>
      </c>
      <c r="B14" s="20">
        <v>4346907</v>
      </c>
      <c r="C14" s="20" t="s">
        <v>32</v>
      </c>
      <c r="D14" s="20" t="s">
        <v>33</v>
      </c>
      <c r="E14" s="20">
        <v>1</v>
      </c>
      <c r="F14" s="20" t="s">
        <v>24</v>
      </c>
      <c r="G14" s="20" t="s">
        <v>20</v>
      </c>
      <c r="H14" s="25" t="s">
        <v>25</v>
      </c>
      <c r="I14" s="26">
        <v>0</v>
      </c>
      <c r="J14" s="20">
        <v>0</v>
      </c>
      <c r="K14" s="20">
        <v>0</v>
      </c>
      <c r="L14" s="22" t="str">
        <f t="shared" si="0"/>
        <v>YETERLİ</v>
      </c>
    </row>
    <row r="15" spans="1:12" ht="45.65" customHeight="1" x14ac:dyDescent="0.35">
      <c r="A15" s="20">
        <v>6</v>
      </c>
      <c r="B15" s="20" t="s">
        <v>34</v>
      </c>
      <c r="C15" s="20" t="s">
        <v>35</v>
      </c>
      <c r="D15" s="20" t="s">
        <v>36</v>
      </c>
      <c r="E15" s="20">
        <v>8</v>
      </c>
      <c r="F15" s="20" t="s">
        <v>37</v>
      </c>
      <c r="G15" s="20" t="s">
        <v>20</v>
      </c>
      <c r="H15" s="23" t="s">
        <v>25</v>
      </c>
      <c r="I15" s="24">
        <v>5</v>
      </c>
      <c r="J15" s="20">
        <v>10</v>
      </c>
      <c r="K15" s="20">
        <v>20</v>
      </c>
      <c r="L15" s="22" t="str">
        <f t="shared" si="0"/>
        <v>SATINAL</v>
      </c>
    </row>
    <row r="16" spans="1:12" ht="45.65" customHeight="1" x14ac:dyDescent="0.35">
      <c r="A16" s="20">
        <v>7</v>
      </c>
      <c r="B16" s="21">
        <v>6280151</v>
      </c>
      <c r="C16" s="21" t="s">
        <v>38</v>
      </c>
      <c r="D16" s="21" t="s">
        <v>39</v>
      </c>
      <c r="E16" s="21">
        <v>1</v>
      </c>
      <c r="F16" s="21" t="s">
        <v>40</v>
      </c>
      <c r="G16" s="21" t="s">
        <v>20</v>
      </c>
      <c r="H16" s="21" t="s">
        <v>25</v>
      </c>
      <c r="I16" s="21">
        <v>1</v>
      </c>
      <c r="J16" s="21">
        <v>1</v>
      </c>
      <c r="K16" s="21">
        <v>2</v>
      </c>
      <c r="L16" s="22" t="str">
        <f t="shared" si="0"/>
        <v>YETERLİ</v>
      </c>
    </row>
    <row r="17" spans="1:12" ht="45.65" customHeight="1" x14ac:dyDescent="0.35">
      <c r="A17" s="20">
        <v>8</v>
      </c>
      <c r="B17" s="20" t="s">
        <v>41</v>
      </c>
      <c r="C17" s="20" t="s">
        <v>42</v>
      </c>
      <c r="D17" s="20" t="s">
        <v>43</v>
      </c>
      <c r="E17" s="20">
        <v>6</v>
      </c>
      <c r="F17" s="20" t="s">
        <v>37</v>
      </c>
      <c r="G17" s="20" t="s">
        <v>20</v>
      </c>
      <c r="H17" s="20">
        <v>2035</v>
      </c>
      <c r="I17" s="24">
        <v>1</v>
      </c>
      <c r="J17" s="20">
        <v>2</v>
      </c>
      <c r="K17" s="20">
        <v>3</v>
      </c>
      <c r="L17" s="22" t="str">
        <f t="shared" si="0"/>
        <v>YETERLİ</v>
      </c>
    </row>
    <row r="18" spans="1:12" ht="45.65" customHeight="1" x14ac:dyDescent="0.35">
      <c r="A18" s="20">
        <v>9</v>
      </c>
      <c r="B18" s="20">
        <v>601002</v>
      </c>
      <c r="C18" s="20" t="s">
        <v>44</v>
      </c>
      <c r="D18" s="20" t="s">
        <v>30</v>
      </c>
      <c r="E18" s="20">
        <v>13</v>
      </c>
      <c r="F18" s="20" t="s">
        <v>40</v>
      </c>
      <c r="G18" s="20" t="s">
        <v>45</v>
      </c>
      <c r="H18" s="23" t="s">
        <v>25</v>
      </c>
      <c r="I18" s="24">
        <v>10</v>
      </c>
      <c r="J18" s="20">
        <v>16</v>
      </c>
      <c r="K18" s="20">
        <v>25</v>
      </c>
      <c r="L18" s="22" t="str">
        <f t="shared" si="0"/>
        <v>SATINAL</v>
      </c>
    </row>
    <row r="19" spans="1:12" ht="45.65" customHeight="1" x14ac:dyDescent="0.35">
      <c r="A19" s="20">
        <v>10</v>
      </c>
      <c r="B19" s="20">
        <v>602002</v>
      </c>
      <c r="C19" s="20" t="s">
        <v>46</v>
      </c>
      <c r="D19" s="20" t="s">
        <v>30</v>
      </c>
      <c r="E19" s="20">
        <v>13</v>
      </c>
      <c r="F19" s="20" t="s">
        <v>47</v>
      </c>
      <c r="G19" s="20" t="s">
        <v>45</v>
      </c>
      <c r="H19" s="23" t="s">
        <v>25</v>
      </c>
      <c r="I19" s="24">
        <v>5</v>
      </c>
      <c r="J19" s="20">
        <v>8</v>
      </c>
      <c r="K19" s="20">
        <v>12</v>
      </c>
      <c r="L19" s="22" t="str">
        <f>IF(E19&lt;J19,"SATINAL","YETERLİ")</f>
        <v>YETERLİ</v>
      </c>
    </row>
    <row r="20" spans="1:12" ht="45.65" customHeight="1" x14ac:dyDescent="0.35">
      <c r="A20" s="20">
        <v>11</v>
      </c>
      <c r="B20" s="20" t="s">
        <v>48</v>
      </c>
      <c r="C20" s="20" t="s">
        <v>49</v>
      </c>
      <c r="D20" s="20" t="s">
        <v>50</v>
      </c>
      <c r="E20" s="20">
        <v>7</v>
      </c>
      <c r="F20" s="20" t="s">
        <v>51</v>
      </c>
      <c r="G20" s="20" t="s">
        <v>45</v>
      </c>
      <c r="H20" s="38" t="s">
        <v>52</v>
      </c>
      <c r="I20" s="24">
        <v>4</v>
      </c>
      <c r="J20" s="20">
        <v>5</v>
      </c>
      <c r="K20" s="20">
        <v>8</v>
      </c>
      <c r="L20" s="22" t="str">
        <f t="shared" si="0"/>
        <v>YETERLİ</v>
      </c>
    </row>
    <row r="21" spans="1:12" ht="45.65" customHeight="1" x14ac:dyDescent="0.35">
      <c r="A21" s="20">
        <v>12</v>
      </c>
      <c r="B21" s="20" t="s">
        <v>53</v>
      </c>
      <c r="C21" s="20" t="s">
        <v>54</v>
      </c>
      <c r="D21" s="20" t="s">
        <v>50</v>
      </c>
      <c r="E21" s="20">
        <v>5</v>
      </c>
      <c r="F21" s="20" t="s">
        <v>19</v>
      </c>
      <c r="G21" s="20" t="s">
        <v>45</v>
      </c>
      <c r="H21" s="23" t="s">
        <v>25</v>
      </c>
      <c r="I21" s="24">
        <v>0</v>
      </c>
      <c r="J21" s="20">
        <v>0</v>
      </c>
      <c r="K21" s="20">
        <v>0</v>
      </c>
      <c r="L21" s="22" t="str">
        <f t="shared" si="0"/>
        <v>YETERLİ</v>
      </c>
    </row>
    <row r="22" spans="1:12" s="15" customFormat="1" ht="45.65" customHeight="1" x14ac:dyDescent="0.35">
      <c r="A22" s="5">
        <v>13</v>
      </c>
      <c r="B22" s="11" t="s">
        <v>55</v>
      </c>
      <c r="C22" s="11" t="s">
        <v>56</v>
      </c>
      <c r="D22" s="11" t="s">
        <v>50</v>
      </c>
      <c r="E22" s="11">
        <v>2</v>
      </c>
      <c r="F22" s="11" t="s">
        <v>19</v>
      </c>
      <c r="G22" s="11" t="s">
        <v>45</v>
      </c>
      <c r="H22" s="12">
        <v>45506</v>
      </c>
      <c r="I22" s="11">
        <v>0</v>
      </c>
      <c r="J22" s="11">
        <v>0</v>
      </c>
      <c r="K22" s="11">
        <v>0</v>
      </c>
      <c r="L22" s="14" t="str">
        <f t="shared" si="0"/>
        <v>YETERLİ</v>
      </c>
    </row>
    <row r="23" spans="1:12" ht="45.65" customHeight="1" x14ac:dyDescent="0.35">
      <c r="A23" s="20">
        <v>14</v>
      </c>
      <c r="B23" s="20" t="s">
        <v>57</v>
      </c>
      <c r="C23" s="20" t="s">
        <v>58</v>
      </c>
      <c r="D23" s="20" t="s">
        <v>59</v>
      </c>
      <c r="E23" s="20">
        <v>7</v>
      </c>
      <c r="F23" s="20" t="s">
        <v>19</v>
      </c>
      <c r="G23" s="20" t="s">
        <v>45</v>
      </c>
      <c r="H23" s="23" t="s">
        <v>25</v>
      </c>
      <c r="I23" s="24">
        <v>10</v>
      </c>
      <c r="J23" s="20">
        <v>20</v>
      </c>
      <c r="K23" s="20">
        <v>30</v>
      </c>
      <c r="L23" s="22" t="str">
        <f t="shared" si="0"/>
        <v>SATINAL</v>
      </c>
    </row>
    <row r="24" spans="1:12" ht="45.65" customHeight="1" x14ac:dyDescent="0.35">
      <c r="A24" s="20">
        <v>15</v>
      </c>
      <c r="B24" s="28" t="s">
        <v>60</v>
      </c>
      <c r="C24" s="23" t="s">
        <v>61</v>
      </c>
      <c r="D24" s="20" t="s">
        <v>60</v>
      </c>
      <c r="E24" s="20">
        <v>8</v>
      </c>
      <c r="F24" s="20" t="s">
        <v>47</v>
      </c>
      <c r="G24" s="20" t="s">
        <v>62</v>
      </c>
      <c r="H24" s="23" t="s">
        <v>25</v>
      </c>
      <c r="I24" s="24">
        <v>1</v>
      </c>
      <c r="J24" s="20">
        <v>1</v>
      </c>
      <c r="K24" s="20">
        <v>2</v>
      </c>
      <c r="L24" s="22" t="str">
        <f t="shared" si="0"/>
        <v>YETERLİ</v>
      </c>
    </row>
    <row r="25" spans="1:12" ht="45.65" customHeight="1" x14ac:dyDescent="0.35">
      <c r="A25" s="20">
        <v>16</v>
      </c>
      <c r="B25" s="21" t="s">
        <v>63</v>
      </c>
      <c r="C25" s="21" t="s">
        <v>64</v>
      </c>
      <c r="D25" s="21" t="s">
        <v>65</v>
      </c>
      <c r="E25" s="21">
        <v>2</v>
      </c>
      <c r="F25" s="21" t="s">
        <v>19</v>
      </c>
      <c r="G25" s="21" t="s">
        <v>62</v>
      </c>
      <c r="H25" s="21" t="s">
        <v>25</v>
      </c>
      <c r="I25" s="29">
        <v>1</v>
      </c>
      <c r="J25" s="21">
        <v>2</v>
      </c>
      <c r="K25" s="21">
        <v>4</v>
      </c>
      <c r="L25" s="22" t="str">
        <f t="shared" si="0"/>
        <v>YETERLİ</v>
      </c>
    </row>
    <row r="26" spans="1:12" ht="45.65" customHeight="1" x14ac:dyDescent="0.35">
      <c r="A26" s="20">
        <v>17</v>
      </c>
      <c r="B26" s="28" t="s">
        <v>66</v>
      </c>
      <c r="C26" s="20" t="s">
        <v>67</v>
      </c>
      <c r="D26" s="20" t="s">
        <v>68</v>
      </c>
      <c r="E26" s="20">
        <v>6</v>
      </c>
      <c r="F26" s="20" t="s">
        <v>19</v>
      </c>
      <c r="G26" s="20" t="s">
        <v>62</v>
      </c>
      <c r="H26" s="23" t="s">
        <v>25</v>
      </c>
      <c r="I26" s="24">
        <v>2</v>
      </c>
      <c r="J26" s="20">
        <v>3</v>
      </c>
      <c r="K26" s="20">
        <v>4</v>
      </c>
      <c r="L26" s="22" t="str">
        <f t="shared" si="0"/>
        <v>YETERLİ</v>
      </c>
    </row>
    <row r="27" spans="1:12" s="15" customFormat="1" ht="45.65" customHeight="1" x14ac:dyDescent="0.35">
      <c r="A27" s="5">
        <v>18</v>
      </c>
      <c r="B27" s="11" t="s">
        <v>69</v>
      </c>
      <c r="C27" s="11" t="s">
        <v>70</v>
      </c>
      <c r="D27" s="11" t="s">
        <v>50</v>
      </c>
      <c r="E27" s="11">
        <v>9</v>
      </c>
      <c r="F27" s="11" t="s">
        <v>19</v>
      </c>
      <c r="G27" s="11" t="s">
        <v>62</v>
      </c>
      <c r="H27" s="11">
        <v>2021</v>
      </c>
      <c r="I27" s="11">
        <v>2</v>
      </c>
      <c r="J27" s="11">
        <v>5</v>
      </c>
      <c r="K27" s="11">
        <v>7</v>
      </c>
      <c r="L27" s="14" t="str">
        <f t="shared" si="0"/>
        <v>YETERLİ</v>
      </c>
    </row>
    <row r="28" spans="1:12" ht="45.65" customHeight="1" x14ac:dyDescent="0.35">
      <c r="A28" s="20">
        <v>19</v>
      </c>
      <c r="B28" s="28" t="s">
        <v>71</v>
      </c>
      <c r="C28" s="20" t="s">
        <v>72</v>
      </c>
      <c r="D28" s="20" t="s">
        <v>50</v>
      </c>
      <c r="E28" s="20">
        <v>1</v>
      </c>
      <c r="F28" s="20" t="s">
        <v>19</v>
      </c>
      <c r="G28" s="20" t="s">
        <v>62</v>
      </c>
      <c r="H28" s="23" t="s">
        <v>25</v>
      </c>
      <c r="I28" s="24">
        <v>0</v>
      </c>
      <c r="J28" s="20">
        <v>0</v>
      </c>
      <c r="K28" s="20">
        <v>0</v>
      </c>
      <c r="L28" s="22" t="str">
        <f t="shared" si="0"/>
        <v>YETERLİ</v>
      </c>
    </row>
    <row r="29" spans="1:12" ht="45.65" customHeight="1" x14ac:dyDescent="0.35">
      <c r="A29" s="20">
        <v>20</v>
      </c>
      <c r="B29" s="20" t="s">
        <v>73</v>
      </c>
      <c r="C29" s="20" t="s">
        <v>74</v>
      </c>
      <c r="D29" s="20" t="s">
        <v>43</v>
      </c>
      <c r="E29" s="20">
        <v>5</v>
      </c>
      <c r="F29" s="20" t="s">
        <v>19</v>
      </c>
      <c r="G29" s="20" t="s">
        <v>62</v>
      </c>
      <c r="H29" s="23" t="s">
        <v>25</v>
      </c>
      <c r="I29" s="24">
        <v>1</v>
      </c>
      <c r="J29" s="20">
        <v>2</v>
      </c>
      <c r="K29" s="20">
        <v>4</v>
      </c>
      <c r="L29" s="22" t="str">
        <f t="shared" si="0"/>
        <v>YETERLİ</v>
      </c>
    </row>
    <row r="30" spans="1:12" ht="45.65" customHeight="1" x14ac:dyDescent="0.35">
      <c r="A30" s="20">
        <v>21</v>
      </c>
      <c r="B30" s="28">
        <v>615001</v>
      </c>
      <c r="C30" s="20" t="s">
        <v>75</v>
      </c>
      <c r="D30" s="20" t="s">
        <v>30</v>
      </c>
      <c r="E30" s="20">
        <v>16</v>
      </c>
      <c r="F30" s="20" t="s">
        <v>19</v>
      </c>
      <c r="G30" s="20" t="s">
        <v>76</v>
      </c>
      <c r="H30" s="20" t="s">
        <v>77</v>
      </c>
      <c r="I30" s="24">
        <v>3</v>
      </c>
      <c r="J30" s="20">
        <v>5</v>
      </c>
      <c r="K30" s="20">
        <v>7</v>
      </c>
      <c r="L30" s="22" t="str">
        <f t="shared" si="0"/>
        <v>YETERLİ</v>
      </c>
    </row>
    <row r="31" spans="1:12" ht="45.65" customHeight="1" x14ac:dyDescent="0.35">
      <c r="A31" s="20">
        <v>22</v>
      </c>
      <c r="B31" s="28"/>
      <c r="C31" s="20" t="s">
        <v>78</v>
      </c>
      <c r="D31" s="20" t="s">
        <v>79</v>
      </c>
      <c r="E31" s="20">
        <v>3</v>
      </c>
      <c r="F31" s="20" t="s">
        <v>24</v>
      </c>
      <c r="G31" s="20" t="s">
        <v>80</v>
      </c>
      <c r="H31" s="23">
        <v>46578</v>
      </c>
      <c r="I31" s="24">
        <v>1</v>
      </c>
      <c r="J31" s="20">
        <v>2</v>
      </c>
      <c r="K31" s="20">
        <v>3</v>
      </c>
      <c r="L31" s="22" t="str">
        <f t="shared" si="0"/>
        <v>YETERLİ</v>
      </c>
    </row>
    <row r="32" spans="1:12" s="15" customFormat="1" ht="45.65" customHeight="1" x14ac:dyDescent="0.35">
      <c r="A32" s="5">
        <v>23</v>
      </c>
      <c r="B32" s="11">
        <v>22431021</v>
      </c>
      <c r="C32" s="11" t="s">
        <v>75</v>
      </c>
      <c r="D32" s="11" t="s">
        <v>81</v>
      </c>
      <c r="E32" s="11">
        <v>2</v>
      </c>
      <c r="F32" s="11" t="s">
        <v>19</v>
      </c>
      <c r="G32" s="11" t="s">
        <v>82</v>
      </c>
      <c r="H32" s="12">
        <v>45805</v>
      </c>
      <c r="I32" s="11">
        <v>2</v>
      </c>
      <c r="J32" s="11">
        <v>4</v>
      </c>
      <c r="K32" s="11">
        <v>6</v>
      </c>
      <c r="L32" s="14" t="str">
        <f t="shared" si="0"/>
        <v>SATINAL</v>
      </c>
    </row>
    <row r="33" spans="1:14" s="15" customFormat="1" ht="42" x14ac:dyDescent="0.35">
      <c r="A33" s="5">
        <v>24</v>
      </c>
      <c r="B33" s="11">
        <v>30123.344000000001</v>
      </c>
      <c r="C33" s="11" t="s">
        <v>83</v>
      </c>
      <c r="D33" s="11" t="s">
        <v>81</v>
      </c>
      <c r="E33" s="11">
        <v>7</v>
      </c>
      <c r="F33" s="11" t="s">
        <v>19</v>
      </c>
      <c r="G33" s="11" t="s">
        <v>82</v>
      </c>
      <c r="H33" s="11">
        <v>2023</v>
      </c>
      <c r="I33" s="11">
        <v>1</v>
      </c>
      <c r="J33" s="11">
        <v>1</v>
      </c>
      <c r="K33" s="11">
        <v>2</v>
      </c>
      <c r="L33" s="14" t="str">
        <f t="shared" si="0"/>
        <v>YETERLİ</v>
      </c>
    </row>
    <row r="34" spans="1:14" ht="42" x14ac:dyDescent="0.35">
      <c r="A34" s="20">
        <v>25</v>
      </c>
      <c r="B34" s="20">
        <v>30120086</v>
      </c>
      <c r="C34" s="20" t="s">
        <v>84</v>
      </c>
      <c r="D34" s="20" t="s">
        <v>81</v>
      </c>
      <c r="E34" s="20">
        <v>1</v>
      </c>
      <c r="F34" s="20" t="s">
        <v>19</v>
      </c>
      <c r="G34" s="20" t="s">
        <v>82</v>
      </c>
      <c r="H34" s="23">
        <v>48666</v>
      </c>
      <c r="I34" s="24">
        <v>1</v>
      </c>
      <c r="J34" s="20">
        <v>1</v>
      </c>
      <c r="K34" s="20">
        <v>1</v>
      </c>
      <c r="L34" s="22" t="str">
        <f t="shared" si="0"/>
        <v>YETERLİ</v>
      </c>
    </row>
    <row r="35" spans="1:14" ht="42" x14ac:dyDescent="0.35">
      <c r="A35" s="20">
        <v>26</v>
      </c>
      <c r="B35" s="20" t="s">
        <v>85</v>
      </c>
      <c r="C35" s="20" t="s">
        <v>86</v>
      </c>
      <c r="D35" s="20" t="s">
        <v>43</v>
      </c>
      <c r="E35" s="20">
        <v>18</v>
      </c>
      <c r="F35" s="20" t="s">
        <v>40</v>
      </c>
      <c r="G35" s="20" t="s">
        <v>82</v>
      </c>
      <c r="H35" s="23" t="s">
        <v>25</v>
      </c>
      <c r="I35" s="24">
        <v>0</v>
      </c>
      <c r="J35" s="20">
        <v>0</v>
      </c>
      <c r="K35" s="20">
        <v>0</v>
      </c>
      <c r="L35" s="22" t="str">
        <f t="shared" si="0"/>
        <v>YETERLİ</v>
      </c>
    </row>
    <row r="36" spans="1:14" ht="42" x14ac:dyDescent="0.35">
      <c r="A36" s="20">
        <v>27</v>
      </c>
      <c r="B36" s="20" t="s">
        <v>87</v>
      </c>
      <c r="C36" s="20" t="s">
        <v>88</v>
      </c>
      <c r="D36" s="20" t="s">
        <v>43</v>
      </c>
      <c r="E36" s="20">
        <v>5</v>
      </c>
      <c r="F36" s="20" t="s">
        <v>40</v>
      </c>
      <c r="G36" s="20" t="s">
        <v>82</v>
      </c>
      <c r="H36" s="23" t="s">
        <v>89</v>
      </c>
      <c r="I36" s="24">
        <v>1</v>
      </c>
      <c r="J36" s="20">
        <v>2</v>
      </c>
      <c r="K36" s="20">
        <v>3</v>
      </c>
      <c r="L36" s="22" t="str">
        <f t="shared" si="0"/>
        <v>YETERLİ</v>
      </c>
    </row>
    <row r="37" spans="1:14" ht="42" x14ac:dyDescent="0.35">
      <c r="A37" s="20">
        <v>28</v>
      </c>
      <c r="B37" s="20" t="s">
        <v>90</v>
      </c>
      <c r="C37" s="20" t="s">
        <v>91</v>
      </c>
      <c r="D37" s="20" t="s">
        <v>92</v>
      </c>
      <c r="E37" s="20">
        <v>2</v>
      </c>
      <c r="F37" s="20" t="s">
        <v>19</v>
      </c>
      <c r="G37" s="20" t="s">
        <v>82</v>
      </c>
      <c r="H37" s="23" t="s">
        <v>25</v>
      </c>
      <c r="I37" s="24">
        <v>0</v>
      </c>
      <c r="J37" s="20">
        <v>0</v>
      </c>
      <c r="K37" s="20">
        <v>0</v>
      </c>
      <c r="L37" s="22" t="str">
        <f t="shared" si="0"/>
        <v>YETERLİ</v>
      </c>
    </row>
    <row r="38" spans="1:14" s="15" customFormat="1" ht="42" x14ac:dyDescent="0.35">
      <c r="A38" s="5">
        <v>29</v>
      </c>
      <c r="B38" s="5">
        <v>24705</v>
      </c>
      <c r="C38" s="5" t="s">
        <v>93</v>
      </c>
      <c r="D38" s="5" t="s">
        <v>92</v>
      </c>
      <c r="E38" s="5">
        <v>10</v>
      </c>
      <c r="F38" s="5" t="s">
        <v>19</v>
      </c>
      <c r="G38" s="5" t="s">
        <v>82</v>
      </c>
      <c r="H38" s="5" t="s">
        <v>94</v>
      </c>
      <c r="I38" s="7">
        <v>2</v>
      </c>
      <c r="J38" s="5">
        <v>3</v>
      </c>
      <c r="K38" s="5">
        <v>5</v>
      </c>
      <c r="L38" s="14" t="str">
        <f t="shared" si="0"/>
        <v>YETERLİ</v>
      </c>
      <c r="M38" s="82" t="s">
        <v>95</v>
      </c>
      <c r="N38" s="13"/>
    </row>
    <row r="39" spans="1:14" ht="42" x14ac:dyDescent="0.35">
      <c r="A39" s="20">
        <v>30</v>
      </c>
      <c r="B39" s="20">
        <v>10977035</v>
      </c>
      <c r="C39" s="20" t="s">
        <v>96</v>
      </c>
      <c r="D39" s="20" t="s">
        <v>65</v>
      </c>
      <c r="E39" s="20">
        <v>6</v>
      </c>
      <c r="F39" s="20" t="s">
        <v>24</v>
      </c>
      <c r="G39" s="20" t="s">
        <v>82</v>
      </c>
      <c r="H39" s="23" t="s">
        <v>97</v>
      </c>
      <c r="I39" s="26">
        <v>3</v>
      </c>
      <c r="J39" s="20">
        <v>4</v>
      </c>
      <c r="K39" s="20">
        <v>6</v>
      </c>
      <c r="L39" s="22" t="str">
        <f t="shared" si="0"/>
        <v>YETERLİ</v>
      </c>
      <c r="M39" s="83"/>
      <c r="N39" s="83"/>
    </row>
    <row r="40" spans="1:14" s="15" customFormat="1" x14ac:dyDescent="0.35">
      <c r="A40" s="5">
        <v>31</v>
      </c>
      <c r="B40" s="11">
        <v>51238</v>
      </c>
      <c r="C40" s="11" t="s">
        <v>98</v>
      </c>
      <c r="D40" s="11" t="s">
        <v>99</v>
      </c>
      <c r="E40" s="11">
        <v>995</v>
      </c>
      <c r="F40" s="11" t="s">
        <v>100</v>
      </c>
      <c r="G40" s="11" t="s">
        <v>101</v>
      </c>
      <c r="H40" s="9">
        <v>45667</v>
      </c>
      <c r="I40" s="16">
        <v>50</v>
      </c>
      <c r="J40" s="11">
        <v>200</v>
      </c>
      <c r="K40" s="11">
        <v>1000</v>
      </c>
      <c r="L40" s="14" t="str">
        <f t="shared" si="0"/>
        <v>YETERLİ</v>
      </c>
      <c r="M40" s="13" t="s">
        <v>102</v>
      </c>
      <c r="N40" s="13" t="s">
        <v>103</v>
      </c>
    </row>
    <row r="41" spans="1:14" ht="42" x14ac:dyDescent="0.35">
      <c r="A41" s="20">
        <v>32</v>
      </c>
      <c r="B41" s="20" t="s">
        <v>60</v>
      </c>
      <c r="C41" s="20" t="s">
        <v>104</v>
      </c>
      <c r="D41" s="20" t="s">
        <v>92</v>
      </c>
      <c r="E41" s="20">
        <v>14</v>
      </c>
      <c r="F41" s="20" t="s">
        <v>24</v>
      </c>
      <c r="G41" s="20" t="s">
        <v>105</v>
      </c>
      <c r="H41" s="23" t="s">
        <v>25</v>
      </c>
      <c r="I41" s="24">
        <v>0</v>
      </c>
      <c r="J41" s="20">
        <v>0</v>
      </c>
      <c r="K41" s="20">
        <v>0</v>
      </c>
      <c r="L41" s="22" t="str">
        <f t="shared" si="0"/>
        <v>YETERLİ</v>
      </c>
    </row>
    <row r="42" spans="1:14" ht="42" x14ac:dyDescent="0.35">
      <c r="A42" s="20">
        <v>33</v>
      </c>
      <c r="B42" s="20">
        <v>390</v>
      </c>
      <c r="C42" s="20" t="s">
        <v>106</v>
      </c>
      <c r="D42" s="20" t="s">
        <v>107</v>
      </c>
      <c r="E42" s="20">
        <v>2</v>
      </c>
      <c r="F42" s="20" t="s">
        <v>24</v>
      </c>
      <c r="G42" s="20" t="s">
        <v>105</v>
      </c>
      <c r="H42" s="23" t="s">
        <v>25</v>
      </c>
      <c r="I42" s="26">
        <v>3</v>
      </c>
      <c r="J42" s="20">
        <v>4</v>
      </c>
      <c r="K42" s="20">
        <v>5</v>
      </c>
      <c r="L42" s="22" t="str">
        <f t="shared" si="0"/>
        <v>SATINAL</v>
      </c>
    </row>
    <row r="43" spans="1:14" ht="42" x14ac:dyDescent="0.35">
      <c r="A43" s="20">
        <v>34</v>
      </c>
      <c r="B43" s="20" t="s">
        <v>108</v>
      </c>
      <c r="C43" s="20" t="s">
        <v>109</v>
      </c>
      <c r="D43" s="20" t="s">
        <v>92</v>
      </c>
      <c r="E43" s="20">
        <v>61</v>
      </c>
      <c r="F43" s="20" t="s">
        <v>24</v>
      </c>
      <c r="G43" s="20" t="s">
        <v>110</v>
      </c>
      <c r="H43" s="23" t="s">
        <v>25</v>
      </c>
      <c r="I43" s="24">
        <v>50</v>
      </c>
      <c r="J43" s="20">
        <v>100</v>
      </c>
      <c r="K43" s="20">
        <v>150</v>
      </c>
      <c r="L43" s="22" t="str">
        <f t="shared" si="0"/>
        <v>SATINAL</v>
      </c>
    </row>
    <row r="44" spans="1:14" ht="42" x14ac:dyDescent="0.35">
      <c r="A44" s="20">
        <v>35</v>
      </c>
      <c r="B44" s="20">
        <v>360002</v>
      </c>
      <c r="C44" s="20" t="s">
        <v>111</v>
      </c>
      <c r="D44" s="20" t="s">
        <v>92</v>
      </c>
      <c r="E44" s="20">
        <v>7</v>
      </c>
      <c r="F44" s="20" t="s">
        <v>40</v>
      </c>
      <c r="G44" s="20" t="s">
        <v>105</v>
      </c>
      <c r="H44" s="23" t="s">
        <v>112</v>
      </c>
      <c r="I44" s="26">
        <v>3</v>
      </c>
      <c r="J44" s="20">
        <v>5</v>
      </c>
      <c r="K44" s="20">
        <v>8</v>
      </c>
      <c r="L44" s="22" t="str">
        <f t="shared" si="0"/>
        <v>YETERLİ</v>
      </c>
    </row>
    <row r="45" spans="1:14" ht="28" x14ac:dyDescent="0.35">
      <c r="A45" s="20">
        <v>36</v>
      </c>
      <c r="B45" s="21">
        <v>981103</v>
      </c>
      <c r="C45" s="21" t="s">
        <v>113</v>
      </c>
      <c r="D45" s="21" t="s">
        <v>114</v>
      </c>
      <c r="E45" s="21">
        <v>12</v>
      </c>
      <c r="F45" s="21" t="s">
        <v>24</v>
      </c>
      <c r="G45" s="21" t="s">
        <v>115</v>
      </c>
      <c r="H45" s="29" t="s">
        <v>25</v>
      </c>
      <c r="I45" s="29">
        <v>3</v>
      </c>
      <c r="J45" s="21">
        <v>5</v>
      </c>
      <c r="K45" s="21">
        <v>8</v>
      </c>
      <c r="L45" s="22" t="str">
        <f t="shared" si="0"/>
        <v>YETERLİ</v>
      </c>
    </row>
    <row r="46" spans="1:14" s="15" customFormat="1" ht="56" x14ac:dyDescent="0.35">
      <c r="A46" s="5">
        <v>37</v>
      </c>
      <c r="B46" s="11">
        <v>929002</v>
      </c>
      <c r="C46" s="11" t="s">
        <v>116</v>
      </c>
      <c r="D46" s="11" t="s">
        <v>114</v>
      </c>
      <c r="E46" s="5">
        <v>170</v>
      </c>
      <c r="F46" s="5" t="s">
        <v>117</v>
      </c>
      <c r="G46" s="5" t="s">
        <v>115</v>
      </c>
      <c r="H46" s="6" t="s">
        <v>118</v>
      </c>
      <c r="I46" s="8">
        <v>5</v>
      </c>
      <c r="J46" s="5">
        <v>15</v>
      </c>
      <c r="K46" s="5">
        <v>120</v>
      </c>
      <c r="L46" s="14" t="str">
        <f t="shared" si="0"/>
        <v>YETERLİ</v>
      </c>
      <c r="M46" s="84"/>
      <c r="N46" s="84"/>
    </row>
    <row r="47" spans="1:14" x14ac:dyDescent="0.35">
      <c r="A47" s="20">
        <v>38</v>
      </c>
      <c r="B47" s="30" t="s">
        <v>119</v>
      </c>
      <c r="C47" s="30" t="s">
        <v>120</v>
      </c>
      <c r="D47" s="30" t="s">
        <v>114</v>
      </c>
      <c r="E47" s="30">
        <v>7</v>
      </c>
      <c r="F47" s="21" t="s">
        <v>24</v>
      </c>
      <c r="G47" s="30" t="s">
        <v>121</v>
      </c>
      <c r="H47" s="31">
        <v>46739</v>
      </c>
      <c r="I47" s="32">
        <v>3</v>
      </c>
      <c r="J47" s="30">
        <v>2</v>
      </c>
      <c r="K47" s="30">
        <v>5</v>
      </c>
      <c r="L47" s="22" t="str">
        <f t="shared" si="0"/>
        <v>YETERLİ</v>
      </c>
      <c r="M47" s="4"/>
      <c r="N47" s="4"/>
    </row>
    <row r="48" spans="1:14" s="15" customFormat="1" ht="42" x14ac:dyDescent="0.35">
      <c r="A48" s="5">
        <v>39</v>
      </c>
      <c r="B48" s="5" t="s">
        <v>122</v>
      </c>
      <c r="C48" s="5" t="s">
        <v>123</v>
      </c>
      <c r="D48" s="5" t="s">
        <v>124</v>
      </c>
      <c r="E48" s="5">
        <v>74</v>
      </c>
      <c r="F48" s="5" t="s">
        <v>125</v>
      </c>
      <c r="G48" s="5" t="s">
        <v>126</v>
      </c>
      <c r="H48" s="6" t="s">
        <v>127</v>
      </c>
      <c r="I48" s="7">
        <v>5</v>
      </c>
      <c r="J48" s="5">
        <v>7</v>
      </c>
      <c r="K48" s="5">
        <v>10</v>
      </c>
      <c r="L48" s="14" t="str">
        <f t="shared" si="0"/>
        <v>YETERLİ</v>
      </c>
      <c r="M48" s="82" t="s">
        <v>128</v>
      </c>
      <c r="N48" s="13"/>
    </row>
    <row r="49" spans="1:14" s="15" customFormat="1" ht="42" x14ac:dyDescent="0.35">
      <c r="A49" s="5">
        <v>40</v>
      </c>
      <c r="B49" s="5" t="s">
        <v>129</v>
      </c>
      <c r="C49" s="5" t="s">
        <v>130</v>
      </c>
      <c r="D49" s="5" t="s">
        <v>124</v>
      </c>
      <c r="E49" s="5">
        <v>18</v>
      </c>
      <c r="F49" s="5" t="s">
        <v>125</v>
      </c>
      <c r="G49" s="5" t="s">
        <v>131</v>
      </c>
      <c r="H49" s="10">
        <v>45139</v>
      </c>
      <c r="I49" s="7">
        <v>5</v>
      </c>
      <c r="J49" s="5">
        <v>7</v>
      </c>
      <c r="K49" s="5">
        <v>10</v>
      </c>
      <c r="L49" s="14" t="str">
        <f t="shared" si="0"/>
        <v>YETERLİ</v>
      </c>
      <c r="M49" s="82" t="s">
        <v>132</v>
      </c>
      <c r="N49" s="13" t="s">
        <v>103</v>
      </c>
    </row>
    <row r="50" spans="1:14" s="15" customFormat="1" ht="42" x14ac:dyDescent="0.35">
      <c r="A50" s="5">
        <v>41</v>
      </c>
      <c r="B50" s="5" t="s">
        <v>133</v>
      </c>
      <c r="C50" s="5" t="s">
        <v>134</v>
      </c>
      <c r="D50" s="5" t="s">
        <v>124</v>
      </c>
      <c r="E50" s="5">
        <v>57</v>
      </c>
      <c r="F50" s="5" t="s">
        <v>125</v>
      </c>
      <c r="G50" s="5" t="s">
        <v>135</v>
      </c>
      <c r="H50" s="6">
        <v>45748</v>
      </c>
      <c r="I50" s="7">
        <v>5</v>
      </c>
      <c r="J50" s="5">
        <v>7</v>
      </c>
      <c r="K50" s="5">
        <v>10</v>
      </c>
      <c r="L50" s="14" t="str">
        <f t="shared" si="0"/>
        <v>YETERLİ</v>
      </c>
      <c r="M50" s="82" t="s">
        <v>132</v>
      </c>
      <c r="N50" s="13" t="s">
        <v>103</v>
      </c>
    </row>
    <row r="51" spans="1:14" ht="42" x14ac:dyDescent="0.35">
      <c r="A51" s="20">
        <v>42</v>
      </c>
      <c r="B51" s="20" t="s">
        <v>136</v>
      </c>
      <c r="C51" s="20" t="s">
        <v>137</v>
      </c>
      <c r="D51" s="20" t="s">
        <v>124</v>
      </c>
      <c r="E51" s="20">
        <v>30</v>
      </c>
      <c r="F51" s="20" t="s">
        <v>125</v>
      </c>
      <c r="G51" s="20" t="s">
        <v>138</v>
      </c>
      <c r="H51" s="23">
        <v>46174</v>
      </c>
      <c r="I51" s="24">
        <v>5</v>
      </c>
      <c r="J51" s="20">
        <v>7</v>
      </c>
      <c r="K51" s="20">
        <v>10</v>
      </c>
      <c r="L51" s="22" t="str">
        <f t="shared" si="0"/>
        <v>YETERLİ</v>
      </c>
    </row>
    <row r="52" spans="1:14" ht="42" x14ac:dyDescent="0.35">
      <c r="A52" s="20">
        <v>43</v>
      </c>
      <c r="B52" s="20" t="s">
        <v>139</v>
      </c>
      <c r="C52" s="20" t="s">
        <v>140</v>
      </c>
      <c r="D52" s="20" t="s">
        <v>124</v>
      </c>
      <c r="E52" s="20">
        <v>1</v>
      </c>
      <c r="F52" s="20" t="s">
        <v>125</v>
      </c>
      <c r="G52" s="20" t="s">
        <v>141</v>
      </c>
      <c r="H52" s="23">
        <v>47665</v>
      </c>
      <c r="I52" s="24">
        <v>4</v>
      </c>
      <c r="J52" s="20">
        <v>6</v>
      </c>
      <c r="K52" s="20">
        <v>8</v>
      </c>
      <c r="L52" s="22" t="str">
        <f t="shared" si="0"/>
        <v>SATINAL</v>
      </c>
    </row>
    <row r="53" spans="1:14" ht="42" x14ac:dyDescent="0.35">
      <c r="A53" s="20">
        <v>44</v>
      </c>
      <c r="B53" s="20" t="s">
        <v>142</v>
      </c>
      <c r="C53" s="20" t="s">
        <v>143</v>
      </c>
      <c r="D53" s="20" t="s">
        <v>124</v>
      </c>
      <c r="E53" s="20">
        <v>17</v>
      </c>
      <c r="F53" s="20" t="s">
        <v>125</v>
      </c>
      <c r="G53" s="20" t="s">
        <v>144</v>
      </c>
      <c r="H53" s="23" t="s">
        <v>145</v>
      </c>
      <c r="I53" s="24">
        <v>5</v>
      </c>
      <c r="J53" s="20">
        <v>10</v>
      </c>
      <c r="K53" s="20">
        <v>15</v>
      </c>
      <c r="L53" s="22" t="str">
        <f t="shared" si="0"/>
        <v>YETERLİ</v>
      </c>
    </row>
    <row r="54" spans="1:14" ht="42" x14ac:dyDescent="0.35">
      <c r="A54" s="20">
        <v>45</v>
      </c>
      <c r="B54" s="20" t="s">
        <v>146</v>
      </c>
      <c r="C54" s="20" t="s">
        <v>147</v>
      </c>
      <c r="D54" s="20" t="s">
        <v>124</v>
      </c>
      <c r="E54" s="20">
        <v>26</v>
      </c>
      <c r="F54" s="20" t="s">
        <v>125</v>
      </c>
      <c r="G54" s="20" t="s">
        <v>148</v>
      </c>
      <c r="H54" s="23" t="s">
        <v>149</v>
      </c>
      <c r="I54" s="24">
        <v>15</v>
      </c>
      <c r="J54" s="20">
        <v>20</v>
      </c>
      <c r="K54" s="20">
        <v>30</v>
      </c>
      <c r="L54" s="22" t="str">
        <f t="shared" si="0"/>
        <v>YETERLİ</v>
      </c>
    </row>
    <row r="55" spans="1:14" ht="42" x14ac:dyDescent="0.35">
      <c r="A55" s="20">
        <v>46</v>
      </c>
      <c r="B55" s="20">
        <v>30389225</v>
      </c>
      <c r="C55" s="20" t="s">
        <v>150</v>
      </c>
      <c r="D55" s="20" t="s">
        <v>151</v>
      </c>
      <c r="E55" s="20">
        <v>13</v>
      </c>
      <c r="F55" s="20" t="s">
        <v>125</v>
      </c>
      <c r="G55" s="20" t="s">
        <v>152</v>
      </c>
      <c r="H55" s="23" t="s">
        <v>25</v>
      </c>
      <c r="I55" s="24">
        <v>40</v>
      </c>
      <c r="J55" s="20">
        <v>60</v>
      </c>
      <c r="K55" s="20">
        <v>80</v>
      </c>
      <c r="L55" s="22" t="str">
        <f t="shared" si="0"/>
        <v>SATINAL</v>
      </c>
    </row>
    <row r="56" spans="1:14" s="15" customFormat="1" ht="42" x14ac:dyDescent="0.35">
      <c r="A56" s="5">
        <v>47</v>
      </c>
      <c r="B56" s="5" t="s">
        <v>153</v>
      </c>
      <c r="C56" s="5" t="s">
        <v>154</v>
      </c>
      <c r="D56" s="5" t="s">
        <v>155</v>
      </c>
      <c r="E56" s="5">
        <v>5</v>
      </c>
      <c r="F56" s="5" t="s">
        <v>19</v>
      </c>
      <c r="G56" s="5" t="s">
        <v>156</v>
      </c>
      <c r="H56" s="6">
        <v>45597</v>
      </c>
      <c r="I56" s="7">
        <v>1</v>
      </c>
      <c r="J56" s="5">
        <v>1</v>
      </c>
      <c r="K56" s="5">
        <v>1</v>
      </c>
      <c r="L56" s="14" t="str">
        <f t="shared" si="0"/>
        <v>YETERLİ</v>
      </c>
      <c r="M56" s="82" t="s">
        <v>132</v>
      </c>
      <c r="N56" s="13" t="s">
        <v>103</v>
      </c>
    </row>
    <row r="57" spans="1:14" s="15" customFormat="1" ht="42" x14ac:dyDescent="0.35">
      <c r="A57" s="5">
        <v>48</v>
      </c>
      <c r="B57" s="5" t="s">
        <v>157</v>
      </c>
      <c r="C57" s="5" t="s">
        <v>158</v>
      </c>
      <c r="D57" s="5" t="s">
        <v>155</v>
      </c>
      <c r="E57" s="5">
        <v>2</v>
      </c>
      <c r="F57" s="5" t="s">
        <v>19</v>
      </c>
      <c r="G57" s="5" t="s">
        <v>156</v>
      </c>
      <c r="H57" s="6">
        <v>45597</v>
      </c>
      <c r="I57" s="7">
        <v>1</v>
      </c>
      <c r="J57" s="5">
        <v>1</v>
      </c>
      <c r="K57" s="5">
        <v>1</v>
      </c>
      <c r="L57" s="14" t="str">
        <f t="shared" si="0"/>
        <v>YETERLİ</v>
      </c>
      <c r="M57" s="82" t="s">
        <v>132</v>
      </c>
      <c r="N57" s="13" t="s">
        <v>103</v>
      </c>
    </row>
    <row r="58" spans="1:14" s="15" customFormat="1" ht="42" x14ac:dyDescent="0.35">
      <c r="A58" s="5">
        <v>49</v>
      </c>
      <c r="B58" s="5" t="s">
        <v>159</v>
      </c>
      <c r="C58" s="5" t="s">
        <v>160</v>
      </c>
      <c r="D58" s="5" t="s">
        <v>155</v>
      </c>
      <c r="E58" s="5">
        <v>1</v>
      </c>
      <c r="F58" s="5" t="s">
        <v>19</v>
      </c>
      <c r="G58" s="5" t="s">
        <v>156</v>
      </c>
      <c r="H58" s="6">
        <v>45597</v>
      </c>
      <c r="I58" s="7">
        <v>1</v>
      </c>
      <c r="J58" s="5">
        <v>1</v>
      </c>
      <c r="K58" s="5">
        <v>1</v>
      </c>
      <c r="L58" s="14" t="str">
        <f t="shared" si="0"/>
        <v>YETERLİ</v>
      </c>
      <c r="M58" s="82" t="s">
        <v>132</v>
      </c>
      <c r="N58" s="13" t="s">
        <v>103</v>
      </c>
    </row>
    <row r="59" spans="1:14" ht="42" x14ac:dyDescent="0.35">
      <c r="A59" s="20">
        <v>50</v>
      </c>
      <c r="B59" s="20">
        <v>30389239</v>
      </c>
      <c r="C59" s="20" t="s">
        <v>161</v>
      </c>
      <c r="D59" s="20" t="s">
        <v>151</v>
      </c>
      <c r="E59" s="20">
        <v>17</v>
      </c>
      <c r="F59" s="20" t="s">
        <v>125</v>
      </c>
      <c r="G59" s="20" t="s">
        <v>162</v>
      </c>
      <c r="H59" s="23" t="s">
        <v>25</v>
      </c>
      <c r="I59" s="24">
        <v>15</v>
      </c>
      <c r="J59" s="20">
        <v>20</v>
      </c>
      <c r="K59" s="20">
        <v>30</v>
      </c>
      <c r="L59" s="22" t="str">
        <f t="shared" si="0"/>
        <v>SATINAL</v>
      </c>
    </row>
    <row r="60" spans="1:14" ht="42" x14ac:dyDescent="0.35">
      <c r="A60" s="20">
        <v>51</v>
      </c>
      <c r="B60" s="20">
        <v>30389255</v>
      </c>
      <c r="C60" s="20" t="s">
        <v>163</v>
      </c>
      <c r="D60" s="20" t="s">
        <v>151</v>
      </c>
      <c r="E60" s="20">
        <v>0</v>
      </c>
      <c r="F60" s="20" t="s">
        <v>164</v>
      </c>
      <c r="G60" s="20" t="s">
        <v>165</v>
      </c>
      <c r="H60" s="23"/>
      <c r="I60" s="24">
        <v>15</v>
      </c>
      <c r="J60" s="20">
        <v>25</v>
      </c>
      <c r="K60" s="20">
        <v>35</v>
      </c>
      <c r="L60" s="22" t="str">
        <f t="shared" si="0"/>
        <v>SATINAL</v>
      </c>
    </row>
    <row r="61" spans="1:14" ht="42" x14ac:dyDescent="0.35">
      <c r="A61" s="20">
        <v>52</v>
      </c>
      <c r="B61" s="20">
        <v>30389254</v>
      </c>
      <c r="C61" s="20" t="s">
        <v>166</v>
      </c>
      <c r="D61" s="20" t="s">
        <v>151</v>
      </c>
      <c r="E61" s="20">
        <v>12</v>
      </c>
      <c r="F61" s="20" t="s">
        <v>164</v>
      </c>
      <c r="G61" s="20" t="s">
        <v>167</v>
      </c>
      <c r="H61" s="23" t="s">
        <v>25</v>
      </c>
      <c r="I61" s="24">
        <v>15</v>
      </c>
      <c r="J61" s="20">
        <v>25</v>
      </c>
      <c r="K61" s="20">
        <v>35</v>
      </c>
      <c r="L61" s="22" t="str">
        <f t="shared" si="0"/>
        <v>SATINAL</v>
      </c>
    </row>
    <row r="62" spans="1:14" ht="28" x14ac:dyDescent="0.35">
      <c r="A62" s="20">
        <v>53</v>
      </c>
      <c r="B62" s="21" t="s">
        <v>168</v>
      </c>
      <c r="C62" s="21" t="s">
        <v>169</v>
      </c>
      <c r="D62" s="21" t="s">
        <v>170</v>
      </c>
      <c r="E62" s="21">
        <v>6</v>
      </c>
      <c r="F62" s="21" t="s">
        <v>24</v>
      </c>
      <c r="G62" s="21" t="s">
        <v>115</v>
      </c>
      <c r="H62" s="21" t="s">
        <v>25</v>
      </c>
      <c r="I62" s="21">
        <v>3</v>
      </c>
      <c r="J62" s="21">
        <v>5</v>
      </c>
      <c r="K62" s="21">
        <v>7</v>
      </c>
      <c r="L62" s="22" t="str">
        <f t="shared" si="0"/>
        <v>YETERLİ</v>
      </c>
    </row>
    <row r="63" spans="1:14" ht="28" x14ac:dyDescent="0.35">
      <c r="A63" s="20">
        <v>54</v>
      </c>
      <c r="B63" s="20" t="s">
        <v>171</v>
      </c>
      <c r="C63" s="20" t="s">
        <v>172</v>
      </c>
      <c r="D63" s="20" t="s">
        <v>59</v>
      </c>
      <c r="E63" s="20">
        <v>4</v>
      </c>
      <c r="F63" s="20" t="s">
        <v>173</v>
      </c>
      <c r="G63" s="20" t="s">
        <v>115</v>
      </c>
      <c r="H63" s="23">
        <v>46143</v>
      </c>
      <c r="I63" s="24">
        <v>10</v>
      </c>
      <c r="J63" s="20">
        <v>15</v>
      </c>
      <c r="K63" s="20">
        <v>20</v>
      </c>
      <c r="L63" s="22" t="str">
        <f t="shared" si="0"/>
        <v>SATINAL</v>
      </c>
    </row>
    <row r="64" spans="1:14" ht="28" x14ac:dyDescent="0.35">
      <c r="A64" s="20">
        <v>55</v>
      </c>
      <c r="B64" s="33" t="s">
        <v>174</v>
      </c>
      <c r="C64" s="33" t="s">
        <v>175</v>
      </c>
      <c r="D64" s="33" t="s">
        <v>176</v>
      </c>
      <c r="E64" s="33">
        <v>1</v>
      </c>
      <c r="F64" s="21" t="s">
        <v>177</v>
      </c>
      <c r="G64" s="21" t="s">
        <v>115</v>
      </c>
      <c r="H64" s="27">
        <v>46388</v>
      </c>
      <c r="I64" s="29">
        <v>1</v>
      </c>
      <c r="J64" s="21">
        <v>2</v>
      </c>
      <c r="K64" s="21">
        <v>3</v>
      </c>
      <c r="L64" s="22" t="str">
        <f t="shared" si="0"/>
        <v>SATINAL</v>
      </c>
    </row>
    <row r="65" spans="1:13" ht="28" x14ac:dyDescent="0.35">
      <c r="A65" s="20">
        <v>56</v>
      </c>
      <c r="B65" s="34">
        <v>997002</v>
      </c>
      <c r="C65" s="34" t="s">
        <v>178</v>
      </c>
      <c r="D65" s="35" t="s">
        <v>114</v>
      </c>
      <c r="E65" s="34">
        <v>5</v>
      </c>
      <c r="F65" s="36" t="s">
        <v>19</v>
      </c>
      <c r="G65" s="20" t="s">
        <v>115</v>
      </c>
      <c r="H65" s="28" t="s">
        <v>25</v>
      </c>
      <c r="I65" s="26">
        <v>8</v>
      </c>
      <c r="J65" s="28">
        <v>10</v>
      </c>
      <c r="K65" s="28">
        <v>15</v>
      </c>
      <c r="L65" s="22" t="str">
        <f t="shared" si="0"/>
        <v>SATINAL</v>
      </c>
    </row>
    <row r="66" spans="1:13" ht="28" x14ac:dyDescent="0.35">
      <c r="A66" s="20">
        <v>57</v>
      </c>
      <c r="B66" s="34">
        <v>997004</v>
      </c>
      <c r="C66" s="34" t="s">
        <v>179</v>
      </c>
      <c r="D66" s="35" t="s">
        <v>114</v>
      </c>
      <c r="E66" s="34">
        <v>2</v>
      </c>
      <c r="F66" s="36" t="s">
        <v>19</v>
      </c>
      <c r="G66" s="20" t="s">
        <v>115</v>
      </c>
      <c r="H66" s="28" t="s">
        <v>25</v>
      </c>
      <c r="I66" s="26">
        <v>3</v>
      </c>
      <c r="J66" s="28">
        <v>4</v>
      </c>
      <c r="K66" s="28">
        <v>7</v>
      </c>
      <c r="L66" s="22" t="str">
        <f t="shared" si="0"/>
        <v>SATINAL</v>
      </c>
    </row>
    <row r="67" spans="1:13" ht="28" x14ac:dyDescent="0.35">
      <c r="A67" s="20">
        <v>58</v>
      </c>
      <c r="B67" s="37">
        <v>951054</v>
      </c>
      <c r="C67" s="37" t="s">
        <v>180</v>
      </c>
      <c r="D67" s="37" t="s">
        <v>114</v>
      </c>
      <c r="E67" s="37">
        <v>6</v>
      </c>
      <c r="F67" s="21" t="s">
        <v>37</v>
      </c>
      <c r="G67" s="21" t="s">
        <v>115</v>
      </c>
      <c r="H67" s="27">
        <v>46229</v>
      </c>
      <c r="I67" s="29">
        <v>15</v>
      </c>
      <c r="J67" s="21">
        <v>29</v>
      </c>
      <c r="K67" s="21">
        <v>35</v>
      </c>
      <c r="L67" s="22" t="str">
        <f t="shared" si="0"/>
        <v>SATINAL</v>
      </c>
    </row>
    <row r="68" spans="1:13" ht="28" x14ac:dyDescent="0.35">
      <c r="A68" s="20">
        <v>59</v>
      </c>
      <c r="B68" s="32">
        <v>997024</v>
      </c>
      <c r="C68" s="32" t="s">
        <v>181</v>
      </c>
      <c r="D68" s="30" t="s">
        <v>114</v>
      </c>
      <c r="E68" s="32">
        <v>9</v>
      </c>
      <c r="F68" s="29" t="s">
        <v>19</v>
      </c>
      <c r="G68" s="21" t="s">
        <v>115</v>
      </c>
      <c r="H68" s="29" t="s">
        <v>25</v>
      </c>
      <c r="I68" s="29">
        <v>8</v>
      </c>
      <c r="J68" s="29">
        <v>16</v>
      </c>
      <c r="K68" s="29">
        <v>20</v>
      </c>
      <c r="L68" s="22" t="str">
        <f t="shared" si="0"/>
        <v>SATINAL</v>
      </c>
    </row>
    <row r="69" spans="1:13" ht="28" x14ac:dyDescent="0.35">
      <c r="A69" s="20">
        <v>60</v>
      </c>
      <c r="B69" s="32">
        <v>990332</v>
      </c>
      <c r="C69" s="32" t="s">
        <v>182</v>
      </c>
      <c r="D69" s="30" t="s">
        <v>114</v>
      </c>
      <c r="E69" s="32">
        <v>3</v>
      </c>
      <c r="F69" s="32" t="s">
        <v>19</v>
      </c>
      <c r="G69" s="30" t="s">
        <v>115</v>
      </c>
      <c r="H69" s="32" t="s">
        <v>25</v>
      </c>
      <c r="I69" s="32">
        <v>4</v>
      </c>
      <c r="J69" s="32">
        <v>6</v>
      </c>
      <c r="K69" s="32">
        <v>10</v>
      </c>
      <c r="L69" s="22" t="str">
        <f t="shared" si="0"/>
        <v>SATINAL</v>
      </c>
    </row>
    <row r="70" spans="1:13" ht="28" x14ac:dyDescent="0.35">
      <c r="A70" s="20">
        <v>61</v>
      </c>
      <c r="B70" s="20">
        <v>52304</v>
      </c>
      <c r="C70" s="20" t="s">
        <v>183</v>
      </c>
      <c r="D70" s="20" t="s">
        <v>114</v>
      </c>
      <c r="E70" s="20">
        <v>7</v>
      </c>
      <c r="F70" s="20" t="s">
        <v>19</v>
      </c>
      <c r="G70" s="20" t="s">
        <v>115</v>
      </c>
      <c r="H70" s="23" t="s">
        <v>25</v>
      </c>
      <c r="I70" s="24">
        <v>10</v>
      </c>
      <c r="J70" s="20">
        <v>15</v>
      </c>
      <c r="K70" s="20">
        <v>20</v>
      </c>
      <c r="L70" s="22" t="str">
        <f t="shared" si="0"/>
        <v>SATINAL</v>
      </c>
    </row>
    <row r="71" spans="1:13" ht="28" x14ac:dyDescent="0.35">
      <c r="A71" s="20">
        <v>62</v>
      </c>
      <c r="B71" s="28">
        <v>937236</v>
      </c>
      <c r="C71" s="28" t="s">
        <v>184</v>
      </c>
      <c r="D71" s="20" t="s">
        <v>114</v>
      </c>
      <c r="E71" s="28">
        <v>9</v>
      </c>
      <c r="F71" s="28" t="s">
        <v>19</v>
      </c>
      <c r="G71" s="20" t="s">
        <v>115</v>
      </c>
      <c r="H71" s="42">
        <v>46636</v>
      </c>
      <c r="I71" s="26">
        <v>15</v>
      </c>
      <c r="J71" s="28">
        <v>26</v>
      </c>
      <c r="K71" s="28">
        <v>30</v>
      </c>
      <c r="L71" s="22" t="str">
        <f t="shared" si="0"/>
        <v>SATINAL</v>
      </c>
    </row>
    <row r="72" spans="1:13" ht="28" x14ac:dyDescent="0.35">
      <c r="A72" s="20">
        <v>63</v>
      </c>
      <c r="B72" s="28">
        <v>997102</v>
      </c>
      <c r="C72" s="28" t="s">
        <v>185</v>
      </c>
      <c r="D72" s="20" t="s">
        <v>114</v>
      </c>
      <c r="E72" s="28">
        <v>0</v>
      </c>
      <c r="F72" s="28" t="s">
        <v>19</v>
      </c>
      <c r="G72" s="20" t="s">
        <v>115</v>
      </c>
      <c r="H72" s="28"/>
      <c r="I72" s="26">
        <v>5</v>
      </c>
      <c r="J72" s="28">
        <v>7</v>
      </c>
      <c r="K72" s="28">
        <v>10</v>
      </c>
      <c r="L72" s="22" t="str">
        <f t="shared" si="0"/>
        <v>SATINAL</v>
      </c>
    </row>
    <row r="73" spans="1:13" ht="28" x14ac:dyDescent="0.35">
      <c r="A73" s="20">
        <v>64</v>
      </c>
      <c r="B73" s="38">
        <v>990352</v>
      </c>
      <c r="C73" s="21" t="s">
        <v>186</v>
      </c>
      <c r="D73" s="21" t="s">
        <v>114</v>
      </c>
      <c r="E73" s="21">
        <v>2</v>
      </c>
      <c r="F73" s="21" t="s">
        <v>19</v>
      </c>
      <c r="G73" s="20" t="s">
        <v>115</v>
      </c>
      <c r="H73" s="28" t="s">
        <v>25</v>
      </c>
      <c r="I73" s="39">
        <v>1</v>
      </c>
      <c r="J73" s="36">
        <v>1</v>
      </c>
      <c r="K73" s="36">
        <v>1</v>
      </c>
      <c r="L73" s="22" t="str">
        <f t="shared" si="0"/>
        <v>YETERLİ</v>
      </c>
    </row>
    <row r="74" spans="1:13" ht="28" x14ac:dyDescent="0.35">
      <c r="A74" s="20">
        <v>65</v>
      </c>
      <c r="B74" s="40">
        <v>990381</v>
      </c>
      <c r="C74" s="30" t="s">
        <v>187</v>
      </c>
      <c r="D74" s="30" t="s">
        <v>114</v>
      </c>
      <c r="E74" s="30">
        <v>1</v>
      </c>
      <c r="F74" s="30" t="s">
        <v>19</v>
      </c>
      <c r="G74" s="20" t="s">
        <v>115</v>
      </c>
      <c r="H74" s="28" t="s">
        <v>25</v>
      </c>
      <c r="I74" s="39">
        <v>1</v>
      </c>
      <c r="J74" s="36">
        <v>1</v>
      </c>
      <c r="K74" s="36">
        <v>1</v>
      </c>
      <c r="L74" s="22" t="str">
        <f t="shared" si="0"/>
        <v>YETERLİ</v>
      </c>
    </row>
    <row r="75" spans="1:13" ht="28" x14ac:dyDescent="0.35">
      <c r="A75" s="20">
        <v>66</v>
      </c>
      <c r="B75" s="40">
        <v>990394</v>
      </c>
      <c r="C75" s="30" t="s">
        <v>188</v>
      </c>
      <c r="D75" s="30" t="s">
        <v>114</v>
      </c>
      <c r="E75" s="30">
        <v>0</v>
      </c>
      <c r="F75" s="30" t="s">
        <v>19</v>
      </c>
      <c r="G75" s="20" t="s">
        <v>115</v>
      </c>
      <c r="H75" s="28"/>
      <c r="I75" s="39">
        <v>1</v>
      </c>
      <c r="J75" s="36">
        <v>1</v>
      </c>
      <c r="K75" s="36">
        <v>1</v>
      </c>
      <c r="L75" s="22" t="str">
        <f t="shared" ref="L75:L139" si="1">IF(E75&lt;J75,"SATINAL","YETERLİ")</f>
        <v>SATINAL</v>
      </c>
    </row>
    <row r="76" spans="1:13" ht="28" x14ac:dyDescent="0.35">
      <c r="A76" s="20">
        <v>67</v>
      </c>
      <c r="B76" s="28">
        <v>56604</v>
      </c>
      <c r="C76" s="28" t="s">
        <v>189</v>
      </c>
      <c r="D76" s="20" t="s">
        <v>114</v>
      </c>
      <c r="E76" s="28">
        <v>1</v>
      </c>
      <c r="F76" s="28" t="s">
        <v>19</v>
      </c>
      <c r="G76" s="20" t="s">
        <v>115</v>
      </c>
      <c r="H76" s="28" t="s">
        <v>25</v>
      </c>
      <c r="I76" s="39">
        <v>1</v>
      </c>
      <c r="J76" s="36">
        <v>1</v>
      </c>
      <c r="K76" s="36">
        <v>1</v>
      </c>
      <c r="L76" s="22" t="str">
        <f t="shared" si="1"/>
        <v>YETERLİ</v>
      </c>
    </row>
    <row r="77" spans="1:13" ht="28" x14ac:dyDescent="0.35">
      <c r="A77" s="20">
        <v>68</v>
      </c>
      <c r="B77" s="36" t="s">
        <v>190</v>
      </c>
      <c r="C77" s="36" t="s">
        <v>191</v>
      </c>
      <c r="D77" s="41" t="s">
        <v>65</v>
      </c>
      <c r="E77" s="36">
        <v>1</v>
      </c>
      <c r="F77" s="36" t="s">
        <v>19</v>
      </c>
      <c r="G77" s="20" t="s">
        <v>192</v>
      </c>
      <c r="H77" s="28" t="s">
        <v>25</v>
      </c>
      <c r="I77" s="39">
        <v>0</v>
      </c>
      <c r="J77" s="36">
        <v>0</v>
      </c>
      <c r="K77" s="36">
        <v>0</v>
      </c>
      <c r="L77" s="22" t="str">
        <f t="shared" si="1"/>
        <v>YETERLİ</v>
      </c>
    </row>
    <row r="78" spans="1:13" s="15" customFormat="1" ht="28" x14ac:dyDescent="0.35">
      <c r="A78" s="5">
        <v>69</v>
      </c>
      <c r="B78" s="11">
        <v>4337456</v>
      </c>
      <c r="C78" s="11" t="s">
        <v>193</v>
      </c>
      <c r="D78" s="11" t="s">
        <v>33</v>
      </c>
      <c r="E78" s="11">
        <v>500</v>
      </c>
      <c r="F78" s="11" t="s">
        <v>194</v>
      </c>
      <c r="G78" s="11" t="s">
        <v>195</v>
      </c>
      <c r="H78" s="17">
        <v>45808</v>
      </c>
      <c r="I78" s="11">
        <v>0</v>
      </c>
      <c r="J78" s="11">
        <v>0</v>
      </c>
      <c r="K78" s="11">
        <v>0</v>
      </c>
      <c r="L78" s="14" t="str">
        <f t="shared" si="1"/>
        <v>YETERLİ</v>
      </c>
      <c r="M78" s="84" t="s">
        <v>103</v>
      </c>
    </row>
    <row r="79" spans="1:13" ht="42" x14ac:dyDescent="0.35">
      <c r="A79" s="20">
        <v>70</v>
      </c>
      <c r="B79" s="20">
        <v>4336917</v>
      </c>
      <c r="C79" s="20" t="s">
        <v>196</v>
      </c>
      <c r="D79" s="20" t="s">
        <v>33</v>
      </c>
      <c r="E79" s="20">
        <v>4</v>
      </c>
      <c r="F79" s="20" t="s">
        <v>19</v>
      </c>
      <c r="G79" s="20" t="s">
        <v>195</v>
      </c>
      <c r="H79" s="38" t="s">
        <v>197</v>
      </c>
      <c r="I79" s="38">
        <v>6</v>
      </c>
      <c r="J79" s="21">
        <v>10</v>
      </c>
      <c r="K79" s="21">
        <v>20</v>
      </c>
      <c r="L79" s="22" t="str">
        <f t="shared" si="1"/>
        <v>SATINAL</v>
      </c>
    </row>
    <row r="80" spans="1:13" x14ac:dyDescent="0.35">
      <c r="A80" s="20">
        <v>71</v>
      </c>
      <c r="B80" s="20">
        <v>4336697</v>
      </c>
      <c r="C80" s="20" t="s">
        <v>198</v>
      </c>
      <c r="D80" s="20" t="s">
        <v>33</v>
      </c>
      <c r="E80" s="20">
        <v>23</v>
      </c>
      <c r="F80" s="20" t="s">
        <v>24</v>
      </c>
      <c r="G80" s="20" t="s">
        <v>195</v>
      </c>
      <c r="H80" s="23" t="s">
        <v>25</v>
      </c>
      <c r="I80" s="38">
        <v>12</v>
      </c>
      <c r="J80" s="21">
        <v>20</v>
      </c>
      <c r="K80" s="21">
        <v>30</v>
      </c>
      <c r="L80" s="22" t="str">
        <f t="shared" si="1"/>
        <v>YETERLİ</v>
      </c>
    </row>
    <row r="81" spans="1:13" x14ac:dyDescent="0.35">
      <c r="A81" s="20">
        <v>72</v>
      </c>
      <c r="B81" s="20">
        <v>4427368</v>
      </c>
      <c r="C81" s="20" t="s">
        <v>199</v>
      </c>
      <c r="D81" s="20" t="s">
        <v>33</v>
      </c>
      <c r="E81" s="20">
        <v>0</v>
      </c>
      <c r="F81" s="20" t="s">
        <v>37</v>
      </c>
      <c r="G81" s="20" t="s">
        <v>195</v>
      </c>
      <c r="H81" s="23"/>
      <c r="I81" s="24">
        <v>1</v>
      </c>
      <c r="J81" s="20">
        <v>2</v>
      </c>
      <c r="K81" s="20">
        <v>3</v>
      </c>
      <c r="L81" s="22" t="str">
        <f t="shared" si="1"/>
        <v>SATINAL</v>
      </c>
    </row>
    <row r="82" spans="1:13" x14ac:dyDescent="0.35">
      <c r="A82" s="20">
        <v>73</v>
      </c>
      <c r="B82" s="20">
        <v>4408399</v>
      </c>
      <c r="C82" s="20" t="s">
        <v>200</v>
      </c>
      <c r="D82" s="20" t="s">
        <v>33</v>
      </c>
      <c r="E82" s="20">
        <v>1</v>
      </c>
      <c r="F82" s="20" t="s">
        <v>37</v>
      </c>
      <c r="G82" s="20" t="s">
        <v>195</v>
      </c>
      <c r="H82" s="23">
        <v>46191</v>
      </c>
      <c r="I82" s="24">
        <v>1</v>
      </c>
      <c r="J82" s="20">
        <v>1</v>
      </c>
      <c r="K82" s="20">
        <v>1</v>
      </c>
      <c r="L82" s="22" t="str">
        <f t="shared" si="1"/>
        <v>YETERLİ</v>
      </c>
      <c r="M82" t="s">
        <v>201</v>
      </c>
    </row>
    <row r="83" spans="1:13" ht="28" x14ac:dyDescent="0.35">
      <c r="A83" s="20">
        <v>74</v>
      </c>
      <c r="B83" s="20" t="s">
        <v>202</v>
      </c>
      <c r="C83" s="20" t="s">
        <v>203</v>
      </c>
      <c r="D83" s="20" t="s">
        <v>204</v>
      </c>
      <c r="E83" s="20">
        <v>0</v>
      </c>
      <c r="F83" s="20" t="s">
        <v>19</v>
      </c>
      <c r="G83" s="20" t="s">
        <v>205</v>
      </c>
      <c r="H83" s="23"/>
      <c r="I83" s="24">
        <v>1</v>
      </c>
      <c r="J83" s="20">
        <v>2</v>
      </c>
      <c r="K83" s="20">
        <v>3</v>
      </c>
      <c r="L83" s="22" t="str">
        <f t="shared" si="1"/>
        <v>SATINAL</v>
      </c>
    </row>
    <row r="84" spans="1:13" ht="28" x14ac:dyDescent="0.35">
      <c r="A84" s="20">
        <v>75</v>
      </c>
      <c r="B84" s="20" t="s">
        <v>206</v>
      </c>
      <c r="C84" s="20" t="s">
        <v>207</v>
      </c>
      <c r="D84" s="20" t="s">
        <v>204</v>
      </c>
      <c r="E84" s="20">
        <v>1</v>
      </c>
      <c r="F84" s="20" t="s">
        <v>37</v>
      </c>
      <c r="G84" s="20" t="s">
        <v>195</v>
      </c>
      <c r="H84" s="23" t="s">
        <v>208</v>
      </c>
      <c r="I84" s="24">
        <v>1</v>
      </c>
      <c r="J84" s="20">
        <v>2</v>
      </c>
      <c r="K84" s="20">
        <v>3</v>
      </c>
      <c r="L84" s="22" t="str">
        <f t="shared" si="1"/>
        <v>SATINAL</v>
      </c>
    </row>
    <row r="85" spans="1:13" x14ac:dyDescent="0.35">
      <c r="A85" s="20">
        <v>76</v>
      </c>
      <c r="B85" s="21" t="s">
        <v>209</v>
      </c>
      <c r="C85" s="21" t="s">
        <v>210</v>
      </c>
      <c r="D85" s="21" t="s">
        <v>211</v>
      </c>
      <c r="E85" s="21">
        <v>1</v>
      </c>
      <c r="F85" s="21" t="s">
        <v>19</v>
      </c>
      <c r="G85" s="21" t="s">
        <v>195</v>
      </c>
      <c r="H85" s="23">
        <v>46474</v>
      </c>
      <c r="I85" s="21">
        <v>2</v>
      </c>
      <c r="J85" s="21">
        <v>3</v>
      </c>
      <c r="K85" s="21">
        <v>4</v>
      </c>
      <c r="L85" s="22" t="str">
        <f t="shared" si="1"/>
        <v>SATINAL</v>
      </c>
    </row>
    <row r="86" spans="1:13" ht="28" x14ac:dyDescent="0.35">
      <c r="A86" s="20">
        <v>77</v>
      </c>
      <c r="B86" s="20" t="s">
        <v>212</v>
      </c>
      <c r="C86" s="20" t="s">
        <v>213</v>
      </c>
      <c r="D86" s="20" t="s">
        <v>214</v>
      </c>
      <c r="E86" s="20">
        <v>1</v>
      </c>
      <c r="F86" s="20" t="s">
        <v>24</v>
      </c>
      <c r="G86" s="20" t="s">
        <v>195</v>
      </c>
      <c r="H86" s="23" t="s">
        <v>215</v>
      </c>
      <c r="I86" s="24">
        <v>4</v>
      </c>
      <c r="J86" s="20">
        <v>6</v>
      </c>
      <c r="K86" s="20">
        <v>8</v>
      </c>
      <c r="L86" s="22" t="str">
        <f t="shared" si="1"/>
        <v>SATINAL</v>
      </c>
    </row>
    <row r="87" spans="1:13" ht="42" x14ac:dyDescent="0.35">
      <c r="A87" s="20">
        <v>78</v>
      </c>
      <c r="B87" s="41">
        <v>333525</v>
      </c>
      <c r="C87" s="41" t="s">
        <v>216</v>
      </c>
      <c r="D87" s="21" t="s">
        <v>114</v>
      </c>
      <c r="E87" s="41">
        <v>1</v>
      </c>
      <c r="F87" s="41" t="s">
        <v>24</v>
      </c>
      <c r="G87" s="20" t="s">
        <v>195</v>
      </c>
      <c r="H87" s="96" t="s">
        <v>217</v>
      </c>
      <c r="I87" s="88">
        <v>0</v>
      </c>
      <c r="J87" s="41">
        <v>0</v>
      </c>
      <c r="K87" s="41">
        <v>0</v>
      </c>
      <c r="L87" s="22" t="str">
        <f t="shared" si="1"/>
        <v>YETERLİ</v>
      </c>
    </row>
    <row r="88" spans="1:13" ht="28" x14ac:dyDescent="0.35">
      <c r="A88" s="20">
        <v>79</v>
      </c>
      <c r="B88" s="41">
        <v>333505</v>
      </c>
      <c r="C88" s="41" t="s">
        <v>218</v>
      </c>
      <c r="D88" s="21" t="s">
        <v>114</v>
      </c>
      <c r="E88" s="41">
        <v>0</v>
      </c>
      <c r="F88" s="41" t="s">
        <v>24</v>
      </c>
      <c r="G88" s="20" t="s">
        <v>195</v>
      </c>
      <c r="H88" s="96"/>
      <c r="I88" s="88">
        <v>0</v>
      </c>
      <c r="J88" s="41">
        <v>0</v>
      </c>
      <c r="K88" s="41">
        <v>0</v>
      </c>
      <c r="L88" s="22" t="str">
        <f t="shared" si="1"/>
        <v>YETERLİ</v>
      </c>
    </row>
    <row r="89" spans="1:13" ht="42" x14ac:dyDescent="0.35">
      <c r="A89" s="20">
        <v>80</v>
      </c>
      <c r="B89" s="21">
        <v>333939</v>
      </c>
      <c r="C89" s="21" t="s">
        <v>219</v>
      </c>
      <c r="D89" s="21" t="s">
        <v>114</v>
      </c>
      <c r="E89" s="21">
        <v>1</v>
      </c>
      <c r="F89" s="21" t="s">
        <v>24</v>
      </c>
      <c r="G89" s="21" t="s">
        <v>195</v>
      </c>
      <c r="H89" s="27" t="s">
        <v>220</v>
      </c>
      <c r="I89" s="21">
        <v>1</v>
      </c>
      <c r="J89" s="21">
        <v>2</v>
      </c>
      <c r="K89" s="21">
        <v>3</v>
      </c>
      <c r="L89" s="22" t="str">
        <f t="shared" si="1"/>
        <v>SATINAL</v>
      </c>
    </row>
    <row r="90" spans="1:13" s="15" customFormat="1" x14ac:dyDescent="0.35">
      <c r="A90" s="5">
        <v>81</v>
      </c>
      <c r="B90" s="11">
        <v>33385</v>
      </c>
      <c r="C90" s="11" t="s">
        <v>221</v>
      </c>
      <c r="D90" s="11" t="s">
        <v>114</v>
      </c>
      <c r="E90" s="11">
        <v>1</v>
      </c>
      <c r="F90" s="11" t="s">
        <v>24</v>
      </c>
      <c r="G90" s="11" t="s">
        <v>195</v>
      </c>
      <c r="H90" s="12">
        <v>45808</v>
      </c>
      <c r="I90" s="11">
        <v>1</v>
      </c>
      <c r="J90" s="11">
        <v>2</v>
      </c>
      <c r="K90" s="11">
        <v>3</v>
      </c>
      <c r="L90" s="14" t="str">
        <f t="shared" si="1"/>
        <v>SATINAL</v>
      </c>
      <c r="M90" s="84" t="s">
        <v>103</v>
      </c>
    </row>
    <row r="91" spans="1:13" x14ac:dyDescent="0.35">
      <c r="A91" s="20">
        <v>82</v>
      </c>
      <c r="B91" s="21">
        <v>239305</v>
      </c>
      <c r="C91" s="21" t="s">
        <v>222</v>
      </c>
      <c r="D91" s="21" t="s">
        <v>223</v>
      </c>
      <c r="E91" s="21">
        <v>0</v>
      </c>
      <c r="F91" s="21" t="s">
        <v>224</v>
      </c>
      <c r="G91" s="20" t="s">
        <v>225</v>
      </c>
      <c r="H91" s="27"/>
      <c r="I91" s="21">
        <v>1</v>
      </c>
      <c r="J91" s="21">
        <v>1</v>
      </c>
      <c r="K91" s="21">
        <v>1</v>
      </c>
      <c r="L91" s="22" t="str">
        <f t="shared" si="1"/>
        <v>SATINAL</v>
      </c>
    </row>
    <row r="92" spans="1:13" x14ac:dyDescent="0.35">
      <c r="A92" s="20">
        <v>83</v>
      </c>
      <c r="B92" s="21" t="s">
        <v>226</v>
      </c>
      <c r="C92" s="21" t="s">
        <v>227</v>
      </c>
      <c r="D92" s="21" t="s">
        <v>114</v>
      </c>
      <c r="E92" s="21">
        <v>7</v>
      </c>
      <c r="F92" s="21" t="s">
        <v>24</v>
      </c>
      <c r="G92" s="21" t="s">
        <v>195</v>
      </c>
      <c r="H92" s="27" t="s">
        <v>228</v>
      </c>
      <c r="I92" s="21">
        <v>8</v>
      </c>
      <c r="J92" s="21">
        <v>12</v>
      </c>
      <c r="K92" s="21">
        <v>16</v>
      </c>
      <c r="L92" s="22" t="str">
        <f t="shared" si="1"/>
        <v>SATINAL</v>
      </c>
    </row>
    <row r="93" spans="1:13" ht="42" x14ac:dyDescent="0.35">
      <c r="A93" s="20">
        <v>84</v>
      </c>
      <c r="B93" s="30" t="s">
        <v>229</v>
      </c>
      <c r="C93" s="30" t="s">
        <v>230</v>
      </c>
      <c r="D93" s="30" t="s">
        <v>114</v>
      </c>
      <c r="E93" s="30">
        <v>7</v>
      </c>
      <c r="F93" s="21" t="s">
        <v>24</v>
      </c>
      <c r="G93" s="20" t="s">
        <v>225</v>
      </c>
      <c r="H93" s="93" t="s">
        <v>231</v>
      </c>
      <c r="I93" s="21">
        <v>8</v>
      </c>
      <c r="J93" s="21">
        <v>12</v>
      </c>
      <c r="K93" s="21">
        <v>16</v>
      </c>
      <c r="L93" s="22" t="str">
        <f t="shared" si="1"/>
        <v>SATINAL</v>
      </c>
    </row>
    <row r="94" spans="1:13" ht="42" x14ac:dyDescent="0.35">
      <c r="A94" s="20">
        <v>85</v>
      </c>
      <c r="B94" s="30" t="s">
        <v>232</v>
      </c>
      <c r="C94" s="30" t="s">
        <v>233</v>
      </c>
      <c r="D94" s="30" t="s">
        <v>114</v>
      </c>
      <c r="E94" s="30">
        <v>7</v>
      </c>
      <c r="F94" s="21" t="s">
        <v>24</v>
      </c>
      <c r="G94" s="94" t="s">
        <v>225</v>
      </c>
      <c r="H94" s="95" t="s">
        <v>234</v>
      </c>
      <c r="I94" s="21">
        <v>8</v>
      </c>
      <c r="J94" s="21">
        <v>12</v>
      </c>
      <c r="K94" s="21">
        <v>16</v>
      </c>
      <c r="L94" s="22" t="str">
        <f t="shared" si="1"/>
        <v>SATINAL</v>
      </c>
    </row>
    <row r="95" spans="1:13" x14ac:dyDescent="0.35">
      <c r="A95" s="20">
        <v>86</v>
      </c>
      <c r="B95" s="30">
        <v>180479</v>
      </c>
      <c r="C95" s="30" t="s">
        <v>235</v>
      </c>
      <c r="D95" s="30" t="s">
        <v>114</v>
      </c>
      <c r="E95" s="30">
        <v>0</v>
      </c>
      <c r="F95" s="21" t="s">
        <v>24</v>
      </c>
      <c r="G95" s="94" t="s">
        <v>195</v>
      </c>
      <c r="H95" s="95"/>
      <c r="I95" s="30">
        <v>2</v>
      </c>
      <c r="J95" s="30">
        <v>5</v>
      </c>
      <c r="K95" s="30">
        <v>6</v>
      </c>
      <c r="L95" s="22" t="str">
        <f t="shared" si="1"/>
        <v>SATINAL</v>
      </c>
    </row>
    <row r="96" spans="1:13" x14ac:dyDescent="0.35">
      <c r="A96" s="20">
        <v>87</v>
      </c>
      <c r="B96" s="30">
        <v>180480</v>
      </c>
      <c r="C96" s="30" t="s">
        <v>236</v>
      </c>
      <c r="D96" s="30" t="s">
        <v>114</v>
      </c>
      <c r="E96" s="30">
        <v>0</v>
      </c>
      <c r="F96" s="21" t="s">
        <v>24</v>
      </c>
      <c r="G96" s="30" t="s">
        <v>237</v>
      </c>
      <c r="H96" s="31"/>
      <c r="I96" s="30">
        <v>2</v>
      </c>
      <c r="J96" s="30">
        <v>4</v>
      </c>
      <c r="K96" s="30">
        <v>5</v>
      </c>
      <c r="L96" s="22" t="str">
        <f t="shared" si="1"/>
        <v>SATINAL</v>
      </c>
    </row>
    <row r="97" spans="1:12" x14ac:dyDescent="0.35">
      <c r="A97" s="20">
        <v>88</v>
      </c>
      <c r="B97" s="21">
        <v>929523</v>
      </c>
      <c r="C97" s="21" t="s">
        <v>238</v>
      </c>
      <c r="D97" s="21" t="s">
        <v>114</v>
      </c>
      <c r="E97" s="21">
        <v>1</v>
      </c>
      <c r="F97" s="21" t="s">
        <v>24</v>
      </c>
      <c r="G97" s="21" t="s">
        <v>195</v>
      </c>
      <c r="H97" s="27">
        <v>46412</v>
      </c>
      <c r="I97" s="21">
        <v>1</v>
      </c>
      <c r="J97" s="21">
        <v>1</v>
      </c>
      <c r="K97" s="21">
        <v>1</v>
      </c>
      <c r="L97" s="22" t="str">
        <f t="shared" si="1"/>
        <v>YETERLİ</v>
      </c>
    </row>
    <row r="98" spans="1:12" x14ac:dyDescent="0.35">
      <c r="A98" s="20">
        <v>89</v>
      </c>
      <c r="B98" s="30">
        <v>929559</v>
      </c>
      <c r="C98" s="30" t="s">
        <v>239</v>
      </c>
      <c r="D98" s="30" t="s">
        <v>114</v>
      </c>
      <c r="E98" s="30">
        <v>1</v>
      </c>
      <c r="F98" s="30" t="s">
        <v>24</v>
      </c>
      <c r="G98" s="30" t="s">
        <v>195</v>
      </c>
      <c r="H98" s="31">
        <v>46505</v>
      </c>
      <c r="I98" s="30">
        <v>1</v>
      </c>
      <c r="J98" s="30">
        <v>1</v>
      </c>
      <c r="K98" s="30">
        <v>1</v>
      </c>
      <c r="L98" s="22" t="str">
        <f t="shared" si="1"/>
        <v>YETERLİ</v>
      </c>
    </row>
    <row r="99" spans="1:12" x14ac:dyDescent="0.35">
      <c r="A99" s="20">
        <v>90</v>
      </c>
      <c r="B99" s="30">
        <v>333727</v>
      </c>
      <c r="C99" s="30" t="s">
        <v>240</v>
      </c>
      <c r="D99" s="30" t="s">
        <v>114</v>
      </c>
      <c r="E99" s="30">
        <v>0</v>
      </c>
      <c r="F99" s="30" t="s">
        <v>24</v>
      </c>
      <c r="G99" s="30" t="s">
        <v>195</v>
      </c>
      <c r="H99" s="31"/>
      <c r="I99" s="30">
        <v>0</v>
      </c>
      <c r="J99" s="30">
        <v>0</v>
      </c>
      <c r="K99" s="30">
        <v>0</v>
      </c>
      <c r="L99" s="22" t="str">
        <f t="shared" si="1"/>
        <v>YETERLİ</v>
      </c>
    </row>
    <row r="100" spans="1:12" ht="28" x14ac:dyDescent="0.35">
      <c r="A100" s="20">
        <v>91</v>
      </c>
      <c r="B100" s="30" t="s">
        <v>241</v>
      </c>
      <c r="C100" s="30" t="s">
        <v>242</v>
      </c>
      <c r="D100" s="30" t="s">
        <v>243</v>
      </c>
      <c r="E100" s="30">
        <v>7</v>
      </c>
      <c r="F100" s="30" t="s">
        <v>24</v>
      </c>
      <c r="G100" s="30" t="s">
        <v>195</v>
      </c>
      <c r="H100" s="30" t="s">
        <v>244</v>
      </c>
      <c r="I100" s="30">
        <v>0</v>
      </c>
      <c r="J100" s="30">
        <v>0</v>
      </c>
      <c r="K100" s="30">
        <v>0</v>
      </c>
      <c r="L100" s="22" t="str">
        <f t="shared" si="1"/>
        <v>YETERLİ</v>
      </c>
    </row>
    <row r="101" spans="1:12" x14ac:dyDescent="0.35">
      <c r="A101" s="20">
        <v>92</v>
      </c>
      <c r="B101" s="20" t="s">
        <v>245</v>
      </c>
      <c r="C101" s="20" t="s">
        <v>246</v>
      </c>
      <c r="D101" s="20" t="s">
        <v>247</v>
      </c>
      <c r="E101" s="20">
        <v>1</v>
      </c>
      <c r="F101" s="20" t="s">
        <v>40</v>
      </c>
      <c r="G101" s="20" t="s">
        <v>195</v>
      </c>
      <c r="H101" s="23" t="s">
        <v>25</v>
      </c>
      <c r="I101" s="24">
        <v>1</v>
      </c>
      <c r="J101" s="20">
        <v>2</v>
      </c>
      <c r="K101" s="20">
        <v>3</v>
      </c>
      <c r="L101" s="22" t="str">
        <f t="shared" si="1"/>
        <v>SATINAL</v>
      </c>
    </row>
    <row r="102" spans="1:12" ht="28" x14ac:dyDescent="0.35">
      <c r="A102" s="20">
        <v>93</v>
      </c>
      <c r="B102" s="20" t="s">
        <v>248</v>
      </c>
      <c r="C102" s="20" t="s">
        <v>249</v>
      </c>
      <c r="D102" s="20" t="s">
        <v>250</v>
      </c>
      <c r="E102" s="20">
        <v>1</v>
      </c>
      <c r="F102" s="20" t="s">
        <v>251</v>
      </c>
      <c r="G102" s="20" t="s">
        <v>195</v>
      </c>
      <c r="H102" s="23">
        <v>47209</v>
      </c>
      <c r="I102" s="24">
        <v>1</v>
      </c>
      <c r="J102" s="20">
        <v>2</v>
      </c>
      <c r="K102" s="20">
        <v>3</v>
      </c>
      <c r="L102" s="22" t="str">
        <f t="shared" si="1"/>
        <v>SATINAL</v>
      </c>
    </row>
    <row r="103" spans="1:12" ht="28" x14ac:dyDescent="0.35">
      <c r="A103" s="20">
        <v>94</v>
      </c>
      <c r="B103" s="20" t="s">
        <v>252</v>
      </c>
      <c r="C103" s="20" t="s">
        <v>253</v>
      </c>
      <c r="D103" s="20" t="s">
        <v>254</v>
      </c>
      <c r="E103" s="20">
        <v>2</v>
      </c>
      <c r="F103" s="20" t="s">
        <v>19</v>
      </c>
      <c r="G103" s="20" t="s">
        <v>195</v>
      </c>
      <c r="H103" s="23" t="s">
        <v>255</v>
      </c>
      <c r="I103" s="24">
        <v>1</v>
      </c>
      <c r="J103" s="20">
        <v>2</v>
      </c>
      <c r="K103" s="20">
        <v>3</v>
      </c>
      <c r="L103" s="22" t="str">
        <f t="shared" si="1"/>
        <v>YETERLİ</v>
      </c>
    </row>
    <row r="104" spans="1:12" x14ac:dyDescent="0.35">
      <c r="A104" s="20">
        <v>95</v>
      </c>
      <c r="B104" s="28" t="s">
        <v>256</v>
      </c>
      <c r="C104" s="28" t="s">
        <v>257</v>
      </c>
      <c r="D104" s="20" t="s">
        <v>33</v>
      </c>
      <c r="E104" s="20">
        <v>1</v>
      </c>
      <c r="F104" s="20" t="s">
        <v>19</v>
      </c>
      <c r="G104" s="20" t="s">
        <v>195</v>
      </c>
      <c r="H104" s="23">
        <v>46538</v>
      </c>
      <c r="I104" s="24">
        <v>1</v>
      </c>
      <c r="J104" s="20">
        <v>2</v>
      </c>
      <c r="K104" s="20">
        <v>3</v>
      </c>
      <c r="L104" s="22" t="str">
        <f t="shared" si="1"/>
        <v>SATINAL</v>
      </c>
    </row>
    <row r="105" spans="1:12" x14ac:dyDescent="0.35">
      <c r="A105" s="20">
        <v>96</v>
      </c>
      <c r="B105" s="20" t="s">
        <v>258</v>
      </c>
      <c r="C105" s="20" t="s">
        <v>259</v>
      </c>
      <c r="D105" s="20" t="s">
        <v>59</v>
      </c>
      <c r="E105" s="20">
        <v>0</v>
      </c>
      <c r="F105" s="20" t="s">
        <v>260</v>
      </c>
      <c r="G105" s="20" t="s">
        <v>195</v>
      </c>
      <c r="H105" s="25"/>
      <c r="I105" s="26">
        <v>16</v>
      </c>
      <c r="J105" s="20">
        <v>20</v>
      </c>
      <c r="K105" s="20">
        <v>50</v>
      </c>
      <c r="L105" s="22" t="str">
        <f t="shared" si="1"/>
        <v>SATINAL</v>
      </c>
    </row>
    <row r="106" spans="1:12" x14ac:dyDescent="0.35">
      <c r="A106" s="20">
        <v>97</v>
      </c>
      <c r="B106" s="20" t="s">
        <v>261</v>
      </c>
      <c r="C106" s="20" t="s">
        <v>262</v>
      </c>
      <c r="D106" s="20" t="s">
        <v>59</v>
      </c>
      <c r="E106" s="20">
        <v>2</v>
      </c>
      <c r="F106" s="20" t="s">
        <v>19</v>
      </c>
      <c r="G106" s="20" t="s">
        <v>195</v>
      </c>
      <c r="H106" s="23">
        <v>46478</v>
      </c>
      <c r="I106" s="26">
        <v>1</v>
      </c>
      <c r="J106" s="20">
        <v>2</v>
      </c>
      <c r="K106" s="20">
        <v>3</v>
      </c>
      <c r="L106" s="22" t="str">
        <f t="shared" si="1"/>
        <v>YETERLİ</v>
      </c>
    </row>
    <row r="107" spans="1:12" x14ac:dyDescent="0.35">
      <c r="A107" s="20">
        <v>98</v>
      </c>
      <c r="B107" s="20" t="s">
        <v>263</v>
      </c>
      <c r="C107" s="20" t="s">
        <v>264</v>
      </c>
      <c r="D107" s="20" t="s">
        <v>59</v>
      </c>
      <c r="E107" s="20">
        <v>1</v>
      </c>
      <c r="F107" s="20" t="s">
        <v>19</v>
      </c>
      <c r="G107" s="20" t="s">
        <v>195</v>
      </c>
      <c r="H107" s="23">
        <v>46327</v>
      </c>
      <c r="I107" s="24">
        <v>1</v>
      </c>
      <c r="J107" s="20">
        <v>2</v>
      </c>
      <c r="K107" s="20">
        <v>3</v>
      </c>
      <c r="L107" s="22" t="str">
        <f t="shared" si="1"/>
        <v>SATINAL</v>
      </c>
    </row>
    <row r="108" spans="1:12" ht="28" x14ac:dyDescent="0.35">
      <c r="A108" s="20">
        <v>99</v>
      </c>
      <c r="B108" s="20" t="s">
        <v>265</v>
      </c>
      <c r="C108" s="20" t="s">
        <v>266</v>
      </c>
      <c r="D108" s="20" t="s">
        <v>59</v>
      </c>
      <c r="E108" s="20">
        <v>3</v>
      </c>
      <c r="F108" s="20" t="s">
        <v>19</v>
      </c>
      <c r="G108" s="20" t="s">
        <v>195</v>
      </c>
      <c r="H108" s="42" t="s">
        <v>267</v>
      </c>
      <c r="I108" s="24">
        <v>1</v>
      </c>
      <c r="J108" s="20">
        <v>2</v>
      </c>
      <c r="K108" s="20">
        <v>3</v>
      </c>
      <c r="L108" s="22" t="str">
        <f t="shared" si="1"/>
        <v>YETERLİ</v>
      </c>
    </row>
    <row r="109" spans="1:12" x14ac:dyDescent="0.35">
      <c r="A109" s="20">
        <v>100</v>
      </c>
      <c r="B109" s="20" t="s">
        <v>268</v>
      </c>
      <c r="C109" s="20" t="s">
        <v>269</v>
      </c>
      <c r="D109" s="20" t="s">
        <v>59</v>
      </c>
      <c r="E109" s="20">
        <v>3</v>
      </c>
      <c r="F109" s="20" t="s">
        <v>19</v>
      </c>
      <c r="G109" s="20" t="s">
        <v>195</v>
      </c>
      <c r="H109" s="23">
        <v>46327</v>
      </c>
      <c r="I109" s="24">
        <v>1</v>
      </c>
      <c r="J109" s="20">
        <v>2</v>
      </c>
      <c r="K109" s="20">
        <v>3</v>
      </c>
      <c r="L109" s="22" t="str">
        <f t="shared" si="1"/>
        <v>YETERLİ</v>
      </c>
    </row>
    <row r="110" spans="1:12" x14ac:dyDescent="0.35">
      <c r="A110" s="20">
        <v>101</v>
      </c>
      <c r="B110" s="21" t="s">
        <v>270</v>
      </c>
      <c r="C110" s="21" t="s">
        <v>271</v>
      </c>
      <c r="D110" s="21" t="s">
        <v>211</v>
      </c>
      <c r="E110" s="21">
        <v>1</v>
      </c>
      <c r="F110" s="21" t="s">
        <v>19</v>
      </c>
      <c r="G110" s="21" t="s">
        <v>195</v>
      </c>
      <c r="H110" s="27">
        <v>46446</v>
      </c>
      <c r="I110" s="21">
        <v>1</v>
      </c>
      <c r="J110" s="21">
        <v>1</v>
      </c>
      <c r="K110" s="21">
        <v>2</v>
      </c>
      <c r="L110" s="22" t="str">
        <f t="shared" si="1"/>
        <v>YETERLİ</v>
      </c>
    </row>
    <row r="111" spans="1:12" ht="30" customHeight="1" x14ac:dyDescent="0.35">
      <c r="A111" s="20">
        <v>102</v>
      </c>
      <c r="B111" s="30" t="s">
        <v>272</v>
      </c>
      <c r="C111" s="30" t="s">
        <v>273</v>
      </c>
      <c r="D111" s="30" t="s">
        <v>274</v>
      </c>
      <c r="E111" s="30">
        <v>0</v>
      </c>
      <c r="F111" s="30" t="s">
        <v>19</v>
      </c>
      <c r="G111" s="21" t="s">
        <v>195</v>
      </c>
      <c r="H111" s="31"/>
      <c r="I111" s="30">
        <v>1</v>
      </c>
      <c r="J111" s="30">
        <v>1</v>
      </c>
      <c r="K111" s="30">
        <v>2</v>
      </c>
      <c r="L111" s="22" t="str">
        <f t="shared" si="1"/>
        <v>SATINAL</v>
      </c>
    </row>
    <row r="112" spans="1:12" ht="28" x14ac:dyDescent="0.35">
      <c r="A112" s="20">
        <v>103</v>
      </c>
      <c r="B112" s="30" t="s">
        <v>275</v>
      </c>
      <c r="C112" s="30" t="s">
        <v>276</v>
      </c>
      <c r="D112" s="30" t="s">
        <v>277</v>
      </c>
      <c r="E112" s="30">
        <v>1</v>
      </c>
      <c r="F112" s="30" t="s">
        <v>19</v>
      </c>
      <c r="G112" s="30" t="s">
        <v>278</v>
      </c>
      <c r="H112" s="31">
        <v>46315</v>
      </c>
      <c r="I112" s="30">
        <v>2</v>
      </c>
      <c r="J112" s="30">
        <v>3</v>
      </c>
      <c r="K112" s="30">
        <v>4</v>
      </c>
      <c r="L112" s="22" t="str">
        <f t="shared" si="1"/>
        <v>SATINAL</v>
      </c>
    </row>
    <row r="113" spans="1:13" ht="28" x14ac:dyDescent="0.35">
      <c r="A113" s="20">
        <v>104</v>
      </c>
      <c r="B113" s="30" t="s">
        <v>279</v>
      </c>
      <c r="C113" s="30" t="s">
        <v>280</v>
      </c>
      <c r="D113" s="30" t="s">
        <v>281</v>
      </c>
      <c r="E113" s="30">
        <v>1</v>
      </c>
      <c r="F113" s="30" t="s">
        <v>19</v>
      </c>
      <c r="G113" s="30" t="s">
        <v>278</v>
      </c>
      <c r="H113" s="31">
        <v>46341</v>
      </c>
      <c r="I113" s="32">
        <v>3</v>
      </c>
      <c r="J113" s="30">
        <v>4</v>
      </c>
      <c r="K113" s="30">
        <v>5</v>
      </c>
      <c r="L113" s="22" t="str">
        <f t="shared" si="1"/>
        <v>SATINAL</v>
      </c>
    </row>
    <row r="114" spans="1:13" s="15" customFormat="1" x14ac:dyDescent="0.35">
      <c r="A114" s="5">
        <v>105</v>
      </c>
      <c r="B114" s="5" t="s">
        <v>282</v>
      </c>
      <c r="C114" s="5" t="s">
        <v>283</v>
      </c>
      <c r="D114" s="5" t="s">
        <v>281</v>
      </c>
      <c r="E114" s="5">
        <v>20</v>
      </c>
      <c r="F114" s="5" t="s">
        <v>260</v>
      </c>
      <c r="G114" s="5" t="s">
        <v>195</v>
      </c>
      <c r="H114" s="6">
        <v>45868</v>
      </c>
      <c r="I114" s="8">
        <v>10</v>
      </c>
      <c r="J114" s="5">
        <v>15</v>
      </c>
      <c r="K114" s="5">
        <v>20</v>
      </c>
      <c r="L114" s="14" t="str">
        <f t="shared" si="1"/>
        <v>YETERLİ</v>
      </c>
      <c r="M114" s="13" t="s">
        <v>103</v>
      </c>
    </row>
    <row r="115" spans="1:13" ht="28" x14ac:dyDescent="0.35">
      <c r="A115" s="20">
        <v>106</v>
      </c>
      <c r="B115" s="20" t="s">
        <v>284</v>
      </c>
      <c r="C115" s="20" t="s">
        <v>285</v>
      </c>
      <c r="D115" s="20" t="s">
        <v>281</v>
      </c>
      <c r="E115" s="20">
        <v>6</v>
      </c>
      <c r="F115" s="20" t="s">
        <v>19</v>
      </c>
      <c r="G115" s="20" t="s">
        <v>286</v>
      </c>
      <c r="H115" s="42" t="s">
        <v>287</v>
      </c>
      <c r="I115" s="24">
        <v>8</v>
      </c>
      <c r="J115" s="20">
        <v>12</v>
      </c>
      <c r="K115" s="20">
        <v>14</v>
      </c>
      <c r="L115" s="22" t="str">
        <f t="shared" si="1"/>
        <v>SATINAL</v>
      </c>
    </row>
    <row r="116" spans="1:13" x14ac:dyDescent="0.35">
      <c r="A116" s="20">
        <v>107</v>
      </c>
      <c r="B116" s="20">
        <v>4311320</v>
      </c>
      <c r="C116" s="20" t="s">
        <v>288</v>
      </c>
      <c r="D116" s="20" t="s">
        <v>33</v>
      </c>
      <c r="E116" s="20">
        <v>0</v>
      </c>
      <c r="F116" s="20" t="s">
        <v>24</v>
      </c>
      <c r="G116" s="20" t="s">
        <v>195</v>
      </c>
      <c r="H116" s="23"/>
      <c r="I116" s="24">
        <v>2</v>
      </c>
      <c r="J116" s="20">
        <v>3</v>
      </c>
      <c r="K116" s="20">
        <v>5</v>
      </c>
      <c r="L116" s="22" t="str">
        <f t="shared" si="1"/>
        <v>SATINAL</v>
      </c>
    </row>
    <row r="117" spans="1:13" x14ac:dyDescent="0.35">
      <c r="A117" s="20">
        <v>108</v>
      </c>
      <c r="B117" s="38" t="s">
        <v>289</v>
      </c>
      <c r="C117" s="21" t="s">
        <v>290</v>
      </c>
      <c r="D117" s="21" t="s">
        <v>291</v>
      </c>
      <c r="E117" s="21">
        <v>2</v>
      </c>
      <c r="F117" s="21" t="s">
        <v>24</v>
      </c>
      <c r="G117" s="21" t="s">
        <v>195</v>
      </c>
      <c r="H117" s="21" t="s">
        <v>25</v>
      </c>
      <c r="I117" s="21">
        <v>1</v>
      </c>
      <c r="J117" s="21">
        <v>1</v>
      </c>
      <c r="K117" s="21">
        <v>2</v>
      </c>
      <c r="L117" s="22" t="str">
        <f t="shared" si="1"/>
        <v>YETERLİ</v>
      </c>
    </row>
    <row r="118" spans="1:13" ht="42" x14ac:dyDescent="0.35">
      <c r="A118" s="20">
        <v>109</v>
      </c>
      <c r="B118" s="20">
        <v>21115</v>
      </c>
      <c r="C118" s="20" t="s">
        <v>292</v>
      </c>
      <c r="D118" s="20" t="s">
        <v>293</v>
      </c>
      <c r="E118" s="20">
        <v>4</v>
      </c>
      <c r="F118" s="20" t="s">
        <v>19</v>
      </c>
      <c r="G118" s="20" t="s">
        <v>286</v>
      </c>
      <c r="H118" s="38" t="s">
        <v>294</v>
      </c>
      <c r="I118" s="24">
        <v>6</v>
      </c>
      <c r="J118" s="20">
        <v>9</v>
      </c>
      <c r="K118" s="20">
        <v>10</v>
      </c>
      <c r="L118" s="22" t="str">
        <f t="shared" si="1"/>
        <v>SATINAL</v>
      </c>
    </row>
    <row r="119" spans="1:13" x14ac:dyDescent="0.35">
      <c r="A119" s="20">
        <v>110</v>
      </c>
      <c r="B119" s="20" t="s">
        <v>295</v>
      </c>
      <c r="C119" s="20" t="s">
        <v>296</v>
      </c>
      <c r="D119" s="20" t="s">
        <v>33</v>
      </c>
      <c r="E119" s="20">
        <v>1</v>
      </c>
      <c r="F119" s="20" t="s">
        <v>19</v>
      </c>
      <c r="G119" s="20" t="s">
        <v>195</v>
      </c>
      <c r="H119" s="23" t="s">
        <v>25</v>
      </c>
      <c r="I119" s="24">
        <v>1</v>
      </c>
      <c r="J119" s="20">
        <v>1</v>
      </c>
      <c r="K119" s="20">
        <v>2</v>
      </c>
      <c r="L119" s="22" t="str">
        <f t="shared" si="1"/>
        <v>YETERLİ</v>
      </c>
    </row>
    <row r="120" spans="1:13" x14ac:dyDescent="0.35">
      <c r="A120" s="20">
        <v>111</v>
      </c>
      <c r="B120" s="20" t="s">
        <v>297</v>
      </c>
      <c r="C120" s="20" t="s">
        <v>298</v>
      </c>
      <c r="D120" s="20" t="s">
        <v>299</v>
      </c>
      <c r="E120" s="20">
        <v>5</v>
      </c>
      <c r="F120" s="20" t="s">
        <v>19</v>
      </c>
      <c r="G120" s="20" t="s">
        <v>195</v>
      </c>
      <c r="H120" s="23">
        <v>46508</v>
      </c>
      <c r="I120" s="24">
        <v>1</v>
      </c>
      <c r="J120" s="20">
        <v>2</v>
      </c>
      <c r="K120" s="20">
        <v>3</v>
      </c>
      <c r="L120" s="22" t="str">
        <f t="shared" si="1"/>
        <v>YETERLİ</v>
      </c>
    </row>
    <row r="121" spans="1:13" x14ac:dyDescent="0.35">
      <c r="A121" s="20">
        <v>112</v>
      </c>
      <c r="B121" s="20" t="s">
        <v>300</v>
      </c>
      <c r="C121" s="20" t="s">
        <v>301</v>
      </c>
      <c r="D121" s="20" t="s">
        <v>302</v>
      </c>
      <c r="E121" s="20">
        <v>0</v>
      </c>
      <c r="F121" s="20" t="s">
        <v>19</v>
      </c>
      <c r="G121" s="20" t="s">
        <v>195</v>
      </c>
      <c r="H121" s="23"/>
      <c r="I121" s="24">
        <v>1</v>
      </c>
      <c r="J121" s="20">
        <v>1</v>
      </c>
      <c r="K121" s="20">
        <v>1</v>
      </c>
      <c r="L121" s="22" t="str">
        <f t="shared" si="1"/>
        <v>SATINAL</v>
      </c>
    </row>
    <row r="122" spans="1:13" x14ac:dyDescent="0.35">
      <c r="A122" s="20">
        <v>113</v>
      </c>
      <c r="B122" s="20">
        <v>670923</v>
      </c>
      <c r="C122" s="20" t="s">
        <v>303</v>
      </c>
      <c r="D122" s="20" t="s">
        <v>114</v>
      </c>
      <c r="E122" s="20">
        <v>1</v>
      </c>
      <c r="F122" s="20" t="s">
        <v>19</v>
      </c>
      <c r="G122" s="20" t="s">
        <v>195</v>
      </c>
      <c r="H122" s="23" t="s">
        <v>304</v>
      </c>
      <c r="I122" s="24">
        <v>7</v>
      </c>
      <c r="J122" s="20">
        <v>9</v>
      </c>
      <c r="K122" s="20">
        <v>10</v>
      </c>
      <c r="L122" s="22" t="str">
        <f t="shared" si="1"/>
        <v>SATINAL</v>
      </c>
    </row>
    <row r="123" spans="1:13" ht="23.25" customHeight="1" x14ac:dyDescent="0.35">
      <c r="A123" s="20">
        <v>114</v>
      </c>
      <c r="B123" s="21">
        <v>670023</v>
      </c>
      <c r="C123" s="21" t="s">
        <v>305</v>
      </c>
      <c r="D123" s="21" t="s">
        <v>114</v>
      </c>
      <c r="E123" s="21">
        <v>2</v>
      </c>
      <c r="F123" s="21" t="s">
        <v>19</v>
      </c>
      <c r="G123" s="21" t="s">
        <v>195</v>
      </c>
      <c r="H123" s="27">
        <v>46690</v>
      </c>
      <c r="I123" s="21">
        <v>2</v>
      </c>
      <c r="J123" s="21">
        <v>3</v>
      </c>
      <c r="K123" s="21">
        <v>6</v>
      </c>
      <c r="L123" s="22" t="str">
        <f t="shared" si="1"/>
        <v>SATINAL</v>
      </c>
    </row>
    <row r="124" spans="1:13" x14ac:dyDescent="0.35">
      <c r="A124" s="20">
        <v>115</v>
      </c>
      <c r="B124" s="21">
        <v>672123</v>
      </c>
      <c r="C124" s="21" t="s">
        <v>306</v>
      </c>
      <c r="D124" s="21" t="s">
        <v>114</v>
      </c>
      <c r="E124" s="21">
        <v>0</v>
      </c>
      <c r="F124" s="21" t="s">
        <v>19</v>
      </c>
      <c r="G124" s="21" t="s">
        <v>195</v>
      </c>
      <c r="H124" s="27"/>
      <c r="I124" s="21">
        <v>1</v>
      </c>
      <c r="J124" s="21">
        <v>1</v>
      </c>
      <c r="K124" s="21">
        <v>2</v>
      </c>
      <c r="L124" s="22" t="str">
        <f t="shared" si="1"/>
        <v>SATINAL</v>
      </c>
    </row>
    <row r="125" spans="1:13" ht="19.5" customHeight="1" x14ac:dyDescent="0.35">
      <c r="A125" s="20">
        <v>116</v>
      </c>
      <c r="B125" s="30">
        <v>672213</v>
      </c>
      <c r="C125" s="30" t="s">
        <v>307</v>
      </c>
      <c r="D125" s="30" t="s">
        <v>114</v>
      </c>
      <c r="E125" s="30">
        <v>0</v>
      </c>
      <c r="F125" s="30" t="s">
        <v>19</v>
      </c>
      <c r="G125" s="30" t="s">
        <v>195</v>
      </c>
      <c r="H125" s="31"/>
      <c r="I125" s="30">
        <v>1</v>
      </c>
      <c r="J125" s="30">
        <v>1</v>
      </c>
      <c r="K125" s="30">
        <v>2</v>
      </c>
      <c r="L125" s="22" t="str">
        <f t="shared" si="1"/>
        <v>SATINAL</v>
      </c>
    </row>
    <row r="126" spans="1:13" x14ac:dyDescent="0.35">
      <c r="A126" s="20">
        <v>117</v>
      </c>
      <c r="B126" s="30">
        <v>672313</v>
      </c>
      <c r="C126" s="30" t="s">
        <v>308</v>
      </c>
      <c r="D126" s="30" t="s">
        <v>114</v>
      </c>
      <c r="E126" s="30">
        <v>0</v>
      </c>
      <c r="F126" s="30" t="s">
        <v>19</v>
      </c>
      <c r="G126" s="30" t="s">
        <v>195</v>
      </c>
      <c r="H126" s="31"/>
      <c r="I126" s="30">
        <v>1</v>
      </c>
      <c r="J126" s="30">
        <v>1</v>
      </c>
      <c r="K126" s="30">
        <v>2</v>
      </c>
      <c r="L126" s="22" t="str">
        <f t="shared" si="1"/>
        <v>SATINAL</v>
      </c>
    </row>
    <row r="127" spans="1:13" x14ac:dyDescent="0.35">
      <c r="A127" s="20">
        <v>118</v>
      </c>
      <c r="B127" s="21">
        <v>556875</v>
      </c>
      <c r="C127" s="21" t="s">
        <v>309</v>
      </c>
      <c r="D127" s="21" t="s">
        <v>310</v>
      </c>
      <c r="E127" s="21">
        <v>0</v>
      </c>
      <c r="F127" s="21" t="s">
        <v>117</v>
      </c>
      <c r="G127" s="21" t="s">
        <v>195</v>
      </c>
      <c r="H127" s="27"/>
      <c r="I127" s="21">
        <v>25</v>
      </c>
      <c r="J127" s="21">
        <v>25</v>
      </c>
      <c r="K127" s="21">
        <v>25</v>
      </c>
      <c r="L127" s="22" t="str">
        <f t="shared" si="1"/>
        <v>SATINAL</v>
      </c>
    </row>
    <row r="128" spans="1:13" x14ac:dyDescent="0.35">
      <c r="A128" s="20">
        <v>119</v>
      </c>
      <c r="B128" s="30">
        <v>675013</v>
      </c>
      <c r="C128" s="30" t="s">
        <v>311</v>
      </c>
      <c r="D128" s="30" t="s">
        <v>312</v>
      </c>
      <c r="E128" s="30">
        <v>1</v>
      </c>
      <c r="F128" s="30" t="s">
        <v>37</v>
      </c>
      <c r="G128" s="30" t="s">
        <v>195</v>
      </c>
      <c r="H128" s="31">
        <v>46356</v>
      </c>
      <c r="I128" s="30">
        <v>1</v>
      </c>
      <c r="J128" s="30">
        <v>1</v>
      </c>
      <c r="K128" s="30">
        <v>2</v>
      </c>
      <c r="L128" s="22" t="str">
        <f t="shared" si="1"/>
        <v>YETERLİ</v>
      </c>
    </row>
    <row r="129" spans="1:13" x14ac:dyDescent="0.35">
      <c r="A129" s="20">
        <v>120</v>
      </c>
      <c r="B129" s="30">
        <v>676013</v>
      </c>
      <c r="C129" s="30" t="s">
        <v>313</v>
      </c>
      <c r="D129" s="30" t="s">
        <v>114</v>
      </c>
      <c r="E129" s="30">
        <v>1</v>
      </c>
      <c r="F129" s="30" t="s">
        <v>37</v>
      </c>
      <c r="G129" s="30" t="s">
        <v>195</v>
      </c>
      <c r="H129" s="31">
        <v>46356</v>
      </c>
      <c r="I129" s="30">
        <v>1</v>
      </c>
      <c r="J129" s="30">
        <v>1</v>
      </c>
      <c r="K129" s="30">
        <v>2</v>
      </c>
      <c r="L129" s="22" t="str">
        <f t="shared" si="1"/>
        <v>YETERLİ</v>
      </c>
    </row>
    <row r="130" spans="1:13" x14ac:dyDescent="0.35">
      <c r="A130" s="20">
        <v>121</v>
      </c>
      <c r="B130" s="38" t="s">
        <v>314</v>
      </c>
      <c r="C130" s="21" t="s">
        <v>315</v>
      </c>
      <c r="D130" s="21" t="s">
        <v>316</v>
      </c>
      <c r="E130" s="21">
        <v>1</v>
      </c>
      <c r="F130" s="21" t="s">
        <v>37</v>
      </c>
      <c r="G130" s="89" t="s">
        <v>195</v>
      </c>
      <c r="H130" s="31">
        <v>46235</v>
      </c>
      <c r="I130" s="21">
        <v>1</v>
      </c>
      <c r="J130" s="21">
        <v>2</v>
      </c>
      <c r="K130" s="90">
        <v>3</v>
      </c>
      <c r="L130" s="22" t="str">
        <f t="shared" si="1"/>
        <v>SATINAL</v>
      </c>
    </row>
    <row r="131" spans="1:13" x14ac:dyDescent="0.35">
      <c r="A131" s="20">
        <v>122</v>
      </c>
      <c r="B131" s="35">
        <v>673523</v>
      </c>
      <c r="C131" s="35" t="s">
        <v>317</v>
      </c>
      <c r="D131" s="35" t="s">
        <v>114</v>
      </c>
      <c r="E131" s="35">
        <v>0</v>
      </c>
      <c r="F131" s="35" t="s">
        <v>37</v>
      </c>
      <c r="G131" s="35" t="s">
        <v>195</v>
      </c>
      <c r="H131" s="38"/>
      <c r="I131" s="91">
        <v>6</v>
      </c>
      <c r="J131" s="35">
        <v>8</v>
      </c>
      <c r="K131" s="35">
        <v>10</v>
      </c>
      <c r="L131" s="22" t="str">
        <f t="shared" si="1"/>
        <v>SATINAL</v>
      </c>
    </row>
    <row r="132" spans="1:13" x14ac:dyDescent="0.35">
      <c r="A132" s="20">
        <v>123</v>
      </c>
      <c r="B132" s="35" t="s">
        <v>318</v>
      </c>
      <c r="C132" s="35" t="s">
        <v>319</v>
      </c>
      <c r="D132" s="35" t="s">
        <v>320</v>
      </c>
      <c r="E132" s="35">
        <v>3</v>
      </c>
      <c r="F132" s="35" t="s">
        <v>37</v>
      </c>
      <c r="G132" s="35" t="s">
        <v>195</v>
      </c>
      <c r="H132" s="92">
        <v>46174</v>
      </c>
      <c r="I132" s="91">
        <v>1</v>
      </c>
      <c r="J132" s="35">
        <v>1</v>
      </c>
      <c r="K132" s="35">
        <v>1</v>
      </c>
      <c r="L132" s="22" t="str">
        <f t="shared" si="1"/>
        <v>YETERLİ</v>
      </c>
    </row>
    <row r="133" spans="1:13" x14ac:dyDescent="0.35">
      <c r="A133" s="20">
        <v>124</v>
      </c>
      <c r="B133" s="30" t="s">
        <v>321</v>
      </c>
      <c r="C133" s="30" t="s">
        <v>322</v>
      </c>
      <c r="D133" s="30" t="s">
        <v>323</v>
      </c>
      <c r="E133" s="30">
        <v>50</v>
      </c>
      <c r="F133" s="30" t="s">
        <v>117</v>
      </c>
      <c r="G133" s="30" t="s">
        <v>195</v>
      </c>
      <c r="H133" s="31">
        <v>46235</v>
      </c>
      <c r="I133" s="30">
        <v>25</v>
      </c>
      <c r="J133" s="30">
        <v>50</v>
      </c>
      <c r="K133" s="30">
        <v>50</v>
      </c>
      <c r="L133" s="22" t="str">
        <f t="shared" si="1"/>
        <v>YETERLİ</v>
      </c>
    </row>
    <row r="134" spans="1:13" x14ac:dyDescent="0.35">
      <c r="A134" s="20">
        <v>125</v>
      </c>
      <c r="B134" s="20" t="s">
        <v>324</v>
      </c>
      <c r="C134" s="20" t="s">
        <v>325</v>
      </c>
      <c r="D134" s="20" t="s">
        <v>316</v>
      </c>
      <c r="E134" s="20">
        <v>1</v>
      </c>
      <c r="F134" s="20" t="s">
        <v>37</v>
      </c>
      <c r="G134" s="20" t="s">
        <v>195</v>
      </c>
      <c r="H134" s="31">
        <v>46388</v>
      </c>
      <c r="I134" s="24">
        <v>1</v>
      </c>
      <c r="J134" s="20">
        <v>2</v>
      </c>
      <c r="K134" s="20">
        <v>3</v>
      </c>
      <c r="L134" s="22" t="str">
        <f t="shared" si="1"/>
        <v>SATINAL</v>
      </c>
    </row>
    <row r="135" spans="1:13" ht="28" x14ac:dyDescent="0.35">
      <c r="A135" s="20">
        <v>126</v>
      </c>
      <c r="B135" s="20" t="s">
        <v>326</v>
      </c>
      <c r="C135" s="20" t="s">
        <v>327</v>
      </c>
      <c r="D135" s="20" t="s">
        <v>316</v>
      </c>
      <c r="E135" s="20">
        <v>2</v>
      </c>
      <c r="F135" s="20" t="s">
        <v>37</v>
      </c>
      <c r="G135" s="20" t="s">
        <v>195</v>
      </c>
      <c r="H135" s="23" t="s">
        <v>328</v>
      </c>
      <c r="I135" s="24">
        <v>2</v>
      </c>
      <c r="J135" s="20">
        <v>3</v>
      </c>
      <c r="K135" s="20">
        <v>4</v>
      </c>
      <c r="L135" s="22" t="str">
        <f t="shared" si="1"/>
        <v>SATINAL</v>
      </c>
    </row>
    <row r="136" spans="1:13" x14ac:dyDescent="0.35">
      <c r="A136" s="20">
        <v>127</v>
      </c>
      <c r="B136" s="20" t="s">
        <v>329</v>
      </c>
      <c r="C136" s="20" t="s">
        <v>330</v>
      </c>
      <c r="D136" s="20" t="s">
        <v>316</v>
      </c>
      <c r="E136" s="20">
        <v>1</v>
      </c>
      <c r="F136" s="20" t="s">
        <v>37</v>
      </c>
      <c r="G136" s="20" t="s">
        <v>195</v>
      </c>
      <c r="H136" s="23">
        <v>46054</v>
      </c>
      <c r="I136" s="24">
        <v>1</v>
      </c>
      <c r="J136" s="20">
        <v>1</v>
      </c>
      <c r="K136" s="20">
        <v>2</v>
      </c>
      <c r="L136" s="22" t="str">
        <f t="shared" si="1"/>
        <v>YETERLİ</v>
      </c>
    </row>
    <row r="137" spans="1:13" ht="28" x14ac:dyDescent="0.35">
      <c r="A137" s="20">
        <v>128</v>
      </c>
      <c r="B137" s="20" t="s">
        <v>331</v>
      </c>
      <c r="C137" s="20" t="s">
        <v>332</v>
      </c>
      <c r="D137" s="20" t="s">
        <v>316</v>
      </c>
      <c r="E137" s="20">
        <v>3</v>
      </c>
      <c r="F137" s="20" t="s">
        <v>37</v>
      </c>
      <c r="G137" s="20" t="s">
        <v>195</v>
      </c>
      <c r="H137" s="23" t="s">
        <v>333</v>
      </c>
      <c r="I137" s="24">
        <v>4</v>
      </c>
      <c r="J137" s="20">
        <v>8</v>
      </c>
      <c r="K137" s="20">
        <v>10</v>
      </c>
      <c r="L137" s="22" t="str">
        <f t="shared" si="1"/>
        <v>SATINAL</v>
      </c>
    </row>
    <row r="138" spans="1:13" ht="42" x14ac:dyDescent="0.35">
      <c r="A138" s="20">
        <v>129</v>
      </c>
      <c r="B138" s="20" t="s">
        <v>334</v>
      </c>
      <c r="C138" s="20" t="s">
        <v>335</v>
      </c>
      <c r="D138" s="20" t="s">
        <v>316</v>
      </c>
      <c r="E138" s="20">
        <v>9</v>
      </c>
      <c r="F138" s="20" t="s">
        <v>37</v>
      </c>
      <c r="G138" s="38" t="s">
        <v>336</v>
      </c>
      <c r="H138" s="23" t="s">
        <v>337</v>
      </c>
      <c r="I138" s="24">
        <v>8</v>
      </c>
      <c r="J138" s="20">
        <v>13</v>
      </c>
      <c r="K138" s="20">
        <v>14</v>
      </c>
      <c r="L138" s="22" t="str">
        <f t="shared" si="1"/>
        <v>SATINAL</v>
      </c>
    </row>
    <row r="139" spans="1:13" ht="70" x14ac:dyDescent="0.35">
      <c r="A139" s="20">
        <v>130</v>
      </c>
      <c r="B139" s="20" t="s">
        <v>338</v>
      </c>
      <c r="C139" s="20" t="s">
        <v>339</v>
      </c>
      <c r="D139" s="20" t="s">
        <v>340</v>
      </c>
      <c r="E139" s="20">
        <v>19</v>
      </c>
      <c r="F139" s="20" t="s">
        <v>19</v>
      </c>
      <c r="G139" s="20" t="s">
        <v>286</v>
      </c>
      <c r="H139" s="38" t="s">
        <v>341</v>
      </c>
      <c r="I139" s="24">
        <v>0</v>
      </c>
      <c r="J139" s="20">
        <v>0</v>
      </c>
      <c r="K139" s="20">
        <v>0</v>
      </c>
      <c r="L139" s="22" t="str">
        <f t="shared" si="1"/>
        <v>YETERLİ</v>
      </c>
    </row>
    <row r="140" spans="1:13" ht="28" x14ac:dyDescent="0.35">
      <c r="A140" s="20">
        <v>131</v>
      </c>
      <c r="B140" s="21" t="s">
        <v>342</v>
      </c>
      <c r="C140" s="21" t="s">
        <v>343</v>
      </c>
      <c r="D140" s="21" t="s">
        <v>340</v>
      </c>
      <c r="E140" s="21">
        <v>1</v>
      </c>
      <c r="F140" s="21" t="s">
        <v>344</v>
      </c>
      <c r="G140" s="21" t="s">
        <v>278</v>
      </c>
      <c r="H140" s="27">
        <v>46569</v>
      </c>
      <c r="I140" s="21">
        <v>0</v>
      </c>
      <c r="J140" s="21">
        <v>1</v>
      </c>
      <c r="K140" s="21">
        <v>1</v>
      </c>
      <c r="L140" s="22" t="str">
        <f t="shared" ref="L140:L192" si="2">IF(E140&lt;J140,"SATINAL","YETERLİ")</f>
        <v>YETERLİ</v>
      </c>
    </row>
    <row r="141" spans="1:13" x14ac:dyDescent="0.35">
      <c r="A141" s="20">
        <v>132</v>
      </c>
      <c r="B141" s="21" t="s">
        <v>345</v>
      </c>
      <c r="C141" s="21" t="s">
        <v>346</v>
      </c>
      <c r="D141" s="21" t="s">
        <v>340</v>
      </c>
      <c r="E141" s="21">
        <v>2</v>
      </c>
      <c r="F141" s="21" t="s">
        <v>19</v>
      </c>
      <c r="G141" s="21" t="s">
        <v>286</v>
      </c>
      <c r="H141" s="42">
        <v>46995</v>
      </c>
      <c r="I141" s="21">
        <v>1</v>
      </c>
      <c r="J141" s="21">
        <v>1</v>
      </c>
      <c r="K141" s="21">
        <v>2</v>
      </c>
      <c r="L141" s="22" t="str">
        <f t="shared" si="2"/>
        <v>YETERLİ</v>
      </c>
    </row>
    <row r="142" spans="1:13" x14ac:dyDescent="0.35">
      <c r="A142" s="20">
        <v>133</v>
      </c>
      <c r="B142" s="21" t="s">
        <v>347</v>
      </c>
      <c r="C142" s="21" t="s">
        <v>348</v>
      </c>
      <c r="D142" s="21" t="s">
        <v>340</v>
      </c>
      <c r="E142" s="21">
        <v>0</v>
      </c>
      <c r="F142" s="21" t="s">
        <v>19</v>
      </c>
      <c r="G142" s="21" t="s">
        <v>286</v>
      </c>
      <c r="H142" s="43"/>
      <c r="I142" s="21">
        <v>1</v>
      </c>
      <c r="J142" s="21">
        <v>1</v>
      </c>
      <c r="K142" s="21">
        <v>1</v>
      </c>
      <c r="L142" s="22" t="str">
        <f t="shared" si="2"/>
        <v>SATINAL</v>
      </c>
    </row>
    <row r="143" spans="1:13" s="15" customFormat="1" x14ac:dyDescent="0.35">
      <c r="A143" s="5">
        <v>134</v>
      </c>
      <c r="B143" s="11" t="s">
        <v>349</v>
      </c>
      <c r="C143" s="11" t="s">
        <v>350</v>
      </c>
      <c r="D143" s="11" t="s">
        <v>340</v>
      </c>
      <c r="E143" s="11">
        <v>1</v>
      </c>
      <c r="F143" s="11" t="s">
        <v>19</v>
      </c>
      <c r="G143" s="11" t="s">
        <v>286</v>
      </c>
      <c r="H143" s="18">
        <v>45838</v>
      </c>
      <c r="I143" s="11">
        <v>1</v>
      </c>
      <c r="J143" s="11">
        <v>1</v>
      </c>
      <c r="K143" s="11">
        <v>1</v>
      </c>
      <c r="L143" s="14" t="str">
        <f t="shared" si="2"/>
        <v>YETERLİ</v>
      </c>
      <c r="M143" s="84" t="s">
        <v>103</v>
      </c>
    </row>
    <row r="144" spans="1:13" x14ac:dyDescent="0.35">
      <c r="A144" s="20">
        <v>135</v>
      </c>
      <c r="B144" s="21" t="s">
        <v>351</v>
      </c>
      <c r="C144" s="21" t="s">
        <v>352</v>
      </c>
      <c r="D144" s="21" t="s">
        <v>340</v>
      </c>
      <c r="E144" s="21">
        <v>2</v>
      </c>
      <c r="F144" s="21" t="s">
        <v>19</v>
      </c>
      <c r="G144" s="21" t="s">
        <v>286</v>
      </c>
      <c r="H144" s="43">
        <v>46782</v>
      </c>
      <c r="I144" s="21">
        <v>1</v>
      </c>
      <c r="J144" s="21">
        <v>1</v>
      </c>
      <c r="K144" s="21">
        <v>1</v>
      </c>
      <c r="L144" s="22" t="str">
        <f t="shared" si="2"/>
        <v>YETERLİ</v>
      </c>
    </row>
    <row r="145" spans="1:12" x14ac:dyDescent="0.35">
      <c r="A145" s="20">
        <v>136</v>
      </c>
      <c r="B145" s="21" t="s">
        <v>353</v>
      </c>
      <c r="C145" s="21" t="s">
        <v>354</v>
      </c>
      <c r="D145" s="21" t="s">
        <v>340</v>
      </c>
      <c r="E145" s="21">
        <v>2</v>
      </c>
      <c r="F145" s="21" t="s">
        <v>19</v>
      </c>
      <c r="G145" s="21" t="s">
        <v>286</v>
      </c>
      <c r="H145" s="27">
        <v>47150</v>
      </c>
      <c r="I145" s="21">
        <v>1</v>
      </c>
      <c r="J145" s="21">
        <v>1</v>
      </c>
      <c r="K145" s="21">
        <v>1</v>
      </c>
      <c r="L145" s="22" t="str">
        <f t="shared" si="2"/>
        <v>YETERLİ</v>
      </c>
    </row>
    <row r="146" spans="1:12" x14ac:dyDescent="0.35">
      <c r="A146" s="20">
        <v>137</v>
      </c>
      <c r="B146" s="21" t="s">
        <v>355</v>
      </c>
      <c r="C146" s="21" t="s">
        <v>356</v>
      </c>
      <c r="D146" s="21" t="s">
        <v>340</v>
      </c>
      <c r="E146" s="21">
        <v>5</v>
      </c>
      <c r="F146" s="21" t="s">
        <v>19</v>
      </c>
      <c r="G146" s="21" t="s">
        <v>195</v>
      </c>
      <c r="H146" s="27">
        <v>46873</v>
      </c>
      <c r="I146" s="21">
        <v>2</v>
      </c>
      <c r="J146" s="21">
        <v>4</v>
      </c>
      <c r="K146" s="21">
        <v>6</v>
      </c>
      <c r="L146" s="22" t="str">
        <f t="shared" si="2"/>
        <v>YETERLİ</v>
      </c>
    </row>
    <row r="147" spans="1:12" x14ac:dyDescent="0.35">
      <c r="A147" s="20">
        <v>138</v>
      </c>
      <c r="B147" s="30" t="s">
        <v>357</v>
      </c>
      <c r="C147" s="30" t="s">
        <v>358</v>
      </c>
      <c r="D147" s="30" t="s">
        <v>340</v>
      </c>
      <c r="E147" s="30">
        <v>2</v>
      </c>
      <c r="F147" s="30" t="s">
        <v>19</v>
      </c>
      <c r="G147" s="30" t="s">
        <v>286</v>
      </c>
      <c r="H147" s="31">
        <v>46660</v>
      </c>
      <c r="I147" s="30">
        <v>2</v>
      </c>
      <c r="J147" s="30">
        <v>3</v>
      </c>
      <c r="K147" s="30">
        <v>5</v>
      </c>
      <c r="L147" s="22" t="str">
        <f t="shared" si="2"/>
        <v>SATINAL</v>
      </c>
    </row>
    <row r="148" spans="1:12" x14ac:dyDescent="0.35">
      <c r="A148" s="20">
        <v>139</v>
      </c>
      <c r="B148" s="30" t="s">
        <v>359</v>
      </c>
      <c r="C148" s="30" t="s">
        <v>360</v>
      </c>
      <c r="D148" s="30" t="s">
        <v>340</v>
      </c>
      <c r="E148" s="30">
        <v>2</v>
      </c>
      <c r="F148" s="32" t="s">
        <v>19</v>
      </c>
      <c r="G148" s="30" t="s">
        <v>286</v>
      </c>
      <c r="H148" s="31">
        <v>46995</v>
      </c>
      <c r="I148" s="30">
        <v>3</v>
      </c>
      <c r="J148" s="30">
        <v>5</v>
      </c>
      <c r="K148" s="30">
        <v>7</v>
      </c>
      <c r="L148" s="22" t="str">
        <f t="shared" si="2"/>
        <v>SATINAL</v>
      </c>
    </row>
    <row r="149" spans="1:12" ht="28" x14ac:dyDescent="0.35">
      <c r="A149" s="20">
        <v>140</v>
      </c>
      <c r="B149" s="30" t="s">
        <v>361</v>
      </c>
      <c r="C149" s="30" t="s">
        <v>362</v>
      </c>
      <c r="D149" s="30" t="s">
        <v>340</v>
      </c>
      <c r="E149" s="30">
        <v>4</v>
      </c>
      <c r="F149" s="30" t="s">
        <v>19</v>
      </c>
      <c r="G149" s="86" t="s">
        <v>278</v>
      </c>
      <c r="H149" s="31">
        <v>46873</v>
      </c>
      <c r="I149" s="30">
        <v>3</v>
      </c>
      <c r="J149" s="30">
        <v>5</v>
      </c>
      <c r="K149" s="30">
        <v>7</v>
      </c>
      <c r="L149" s="22" t="str">
        <f t="shared" si="2"/>
        <v>SATINAL</v>
      </c>
    </row>
    <row r="150" spans="1:12" ht="28" x14ac:dyDescent="0.35">
      <c r="A150" s="20">
        <v>141</v>
      </c>
      <c r="B150" s="20" t="s">
        <v>363</v>
      </c>
      <c r="C150" s="20" t="s">
        <v>364</v>
      </c>
      <c r="D150" s="20" t="s">
        <v>340</v>
      </c>
      <c r="E150" s="20">
        <v>1</v>
      </c>
      <c r="F150" s="87" t="s">
        <v>19</v>
      </c>
      <c r="G150" s="35" t="s">
        <v>278</v>
      </c>
      <c r="H150" s="27">
        <v>46507</v>
      </c>
      <c r="I150" s="88">
        <v>1</v>
      </c>
      <c r="J150" s="20">
        <v>2</v>
      </c>
      <c r="K150" s="20">
        <v>5</v>
      </c>
      <c r="L150" s="22" t="str">
        <f t="shared" si="2"/>
        <v>SATINAL</v>
      </c>
    </row>
    <row r="151" spans="1:12" ht="28" x14ac:dyDescent="0.35">
      <c r="A151" s="20">
        <v>142</v>
      </c>
      <c r="B151" s="21" t="s">
        <v>365</v>
      </c>
      <c r="C151" s="21" t="s">
        <v>366</v>
      </c>
      <c r="D151" s="21" t="s">
        <v>340</v>
      </c>
      <c r="E151" s="21">
        <v>1</v>
      </c>
      <c r="F151" s="21" t="s">
        <v>37</v>
      </c>
      <c r="G151" s="30" t="s">
        <v>205</v>
      </c>
      <c r="H151" s="27">
        <v>46507</v>
      </c>
      <c r="I151" s="21">
        <v>1</v>
      </c>
      <c r="J151" s="21">
        <v>2</v>
      </c>
      <c r="K151" s="21">
        <v>5</v>
      </c>
      <c r="L151" s="22" t="str">
        <f t="shared" si="2"/>
        <v>SATINAL</v>
      </c>
    </row>
    <row r="152" spans="1:12" ht="22.5" customHeight="1" x14ac:dyDescent="0.35">
      <c r="A152" s="20">
        <v>143</v>
      </c>
      <c r="B152" s="20" t="s">
        <v>367</v>
      </c>
      <c r="C152" s="20" t="s">
        <v>368</v>
      </c>
      <c r="D152" s="20" t="s">
        <v>340</v>
      </c>
      <c r="E152" s="20">
        <v>1</v>
      </c>
      <c r="F152" s="20" t="s">
        <v>37</v>
      </c>
      <c r="G152" s="20" t="s">
        <v>195</v>
      </c>
      <c r="H152" s="42">
        <v>46598</v>
      </c>
      <c r="I152" s="85">
        <v>1</v>
      </c>
      <c r="J152" s="20">
        <v>1</v>
      </c>
      <c r="K152" s="20">
        <v>2</v>
      </c>
      <c r="L152" s="22" t="str">
        <f t="shared" si="2"/>
        <v>YETERLİ</v>
      </c>
    </row>
    <row r="153" spans="1:12" x14ac:dyDescent="0.35">
      <c r="A153" s="20">
        <v>144</v>
      </c>
      <c r="B153" s="20" t="s">
        <v>369</v>
      </c>
      <c r="C153" s="20" t="s">
        <v>370</v>
      </c>
      <c r="D153" s="20" t="s">
        <v>340</v>
      </c>
      <c r="E153" s="20">
        <v>1</v>
      </c>
      <c r="F153" s="20" t="s">
        <v>19</v>
      </c>
      <c r="G153" s="20" t="s">
        <v>195</v>
      </c>
      <c r="H153" s="42">
        <v>46598</v>
      </c>
      <c r="I153" s="85">
        <v>1</v>
      </c>
      <c r="J153" s="20">
        <v>1</v>
      </c>
      <c r="K153" s="20">
        <v>2</v>
      </c>
      <c r="L153" s="22" t="str">
        <f t="shared" si="2"/>
        <v>YETERLİ</v>
      </c>
    </row>
    <row r="154" spans="1:12" x14ac:dyDescent="0.35">
      <c r="A154" s="20">
        <v>145</v>
      </c>
      <c r="B154" s="21" t="s">
        <v>371</v>
      </c>
      <c r="C154" s="21" t="s">
        <v>372</v>
      </c>
      <c r="D154" s="21" t="s">
        <v>340</v>
      </c>
      <c r="E154" s="21">
        <v>1</v>
      </c>
      <c r="F154" s="21" t="s">
        <v>37</v>
      </c>
      <c r="G154" s="21" t="s">
        <v>195</v>
      </c>
      <c r="H154" s="27">
        <v>46266</v>
      </c>
      <c r="I154" s="21">
        <v>1</v>
      </c>
      <c r="J154" s="21">
        <v>1</v>
      </c>
      <c r="K154" s="21">
        <v>2</v>
      </c>
      <c r="L154" s="22" t="str">
        <f t="shared" si="2"/>
        <v>YETERLİ</v>
      </c>
    </row>
    <row r="155" spans="1:12" x14ac:dyDescent="0.35">
      <c r="A155" s="20">
        <v>146</v>
      </c>
      <c r="B155" s="30" t="s">
        <v>373</v>
      </c>
      <c r="C155" s="30" t="s">
        <v>374</v>
      </c>
      <c r="D155" s="30" t="s">
        <v>340</v>
      </c>
      <c r="E155" s="30">
        <v>0</v>
      </c>
      <c r="F155" s="30" t="s">
        <v>19</v>
      </c>
      <c r="G155" s="30" t="s">
        <v>195</v>
      </c>
      <c r="H155" s="31"/>
      <c r="I155" s="30">
        <v>0</v>
      </c>
      <c r="J155" s="30">
        <v>0</v>
      </c>
      <c r="K155" s="30">
        <v>0</v>
      </c>
      <c r="L155" s="22" t="str">
        <f t="shared" si="2"/>
        <v>YETERLİ</v>
      </c>
    </row>
    <row r="156" spans="1:12" x14ac:dyDescent="0.35">
      <c r="A156" s="20">
        <v>147</v>
      </c>
      <c r="B156" s="21" t="s">
        <v>375</v>
      </c>
      <c r="C156" s="21" t="s">
        <v>376</v>
      </c>
      <c r="D156" s="21" t="s">
        <v>340</v>
      </c>
      <c r="E156" s="21">
        <v>1</v>
      </c>
      <c r="F156" s="21" t="s">
        <v>37</v>
      </c>
      <c r="G156" s="21" t="s">
        <v>195</v>
      </c>
      <c r="H156" s="27">
        <v>47027</v>
      </c>
      <c r="I156" s="21">
        <v>1</v>
      </c>
      <c r="J156" s="21">
        <v>1</v>
      </c>
      <c r="K156" s="21">
        <v>2</v>
      </c>
      <c r="L156" s="22" t="str">
        <f t="shared" si="2"/>
        <v>YETERLİ</v>
      </c>
    </row>
    <row r="157" spans="1:12" x14ac:dyDescent="0.35">
      <c r="A157" s="20">
        <v>148</v>
      </c>
      <c r="B157" s="30" t="s">
        <v>377</v>
      </c>
      <c r="C157" s="30" t="s">
        <v>378</v>
      </c>
      <c r="D157" s="30" t="s">
        <v>340</v>
      </c>
      <c r="E157" s="30">
        <v>0</v>
      </c>
      <c r="F157" s="30" t="s">
        <v>37</v>
      </c>
      <c r="G157" s="30" t="s">
        <v>195</v>
      </c>
      <c r="H157" s="31"/>
      <c r="I157" s="30">
        <v>1</v>
      </c>
      <c r="J157" s="30">
        <v>1</v>
      </c>
      <c r="K157" s="30">
        <v>2</v>
      </c>
      <c r="L157" s="22" t="str">
        <f t="shared" si="2"/>
        <v>SATINAL</v>
      </c>
    </row>
    <row r="158" spans="1:12" ht="28" x14ac:dyDescent="0.35">
      <c r="A158" s="20">
        <v>149</v>
      </c>
      <c r="B158" s="30" t="s">
        <v>379</v>
      </c>
      <c r="C158" s="30" t="s">
        <v>380</v>
      </c>
      <c r="D158" s="30" t="s">
        <v>340</v>
      </c>
      <c r="E158" s="30">
        <v>3</v>
      </c>
      <c r="F158" s="30" t="s">
        <v>37</v>
      </c>
      <c r="G158" s="30" t="s">
        <v>195</v>
      </c>
      <c r="H158" s="31" t="s">
        <v>381</v>
      </c>
      <c r="I158" s="30">
        <v>1</v>
      </c>
      <c r="J158" s="30">
        <v>1</v>
      </c>
      <c r="K158" s="30">
        <v>2</v>
      </c>
      <c r="L158" s="22" t="str">
        <f t="shared" si="2"/>
        <v>YETERLİ</v>
      </c>
    </row>
    <row r="159" spans="1:12" x14ac:dyDescent="0.35">
      <c r="A159" s="20">
        <v>150</v>
      </c>
      <c r="B159" s="30" t="s">
        <v>382</v>
      </c>
      <c r="C159" s="30" t="s">
        <v>383</v>
      </c>
      <c r="D159" s="30" t="s">
        <v>340</v>
      </c>
      <c r="E159" s="30">
        <v>1</v>
      </c>
      <c r="F159" s="30" t="s">
        <v>37</v>
      </c>
      <c r="G159" s="30" t="s">
        <v>195</v>
      </c>
      <c r="H159" s="31">
        <v>46266</v>
      </c>
      <c r="I159" s="30">
        <v>1</v>
      </c>
      <c r="J159" s="30">
        <v>1</v>
      </c>
      <c r="K159" s="30">
        <v>2</v>
      </c>
      <c r="L159" s="22" t="str">
        <f t="shared" si="2"/>
        <v>YETERLİ</v>
      </c>
    </row>
    <row r="160" spans="1:12" x14ac:dyDescent="0.35">
      <c r="A160" s="20">
        <v>151</v>
      </c>
      <c r="B160" s="20" t="s">
        <v>384</v>
      </c>
      <c r="C160" s="20" t="s">
        <v>385</v>
      </c>
      <c r="D160" s="20" t="s">
        <v>340</v>
      </c>
      <c r="E160" s="20">
        <v>2</v>
      </c>
      <c r="F160" s="20" t="s">
        <v>37</v>
      </c>
      <c r="G160" s="20" t="s">
        <v>195</v>
      </c>
      <c r="H160" s="42">
        <v>46446</v>
      </c>
      <c r="I160" s="85">
        <v>2</v>
      </c>
      <c r="J160" s="20">
        <v>3</v>
      </c>
      <c r="K160" s="20">
        <v>4</v>
      </c>
      <c r="L160" s="22" t="str">
        <f t="shared" si="2"/>
        <v>SATINAL</v>
      </c>
    </row>
    <row r="161" spans="1:12" x14ac:dyDescent="0.35">
      <c r="A161" s="20">
        <v>152</v>
      </c>
      <c r="B161" s="21" t="s">
        <v>386</v>
      </c>
      <c r="C161" s="21" t="s">
        <v>387</v>
      </c>
      <c r="D161" s="21" t="s">
        <v>340</v>
      </c>
      <c r="E161" s="21">
        <v>3</v>
      </c>
      <c r="F161" s="21" t="s">
        <v>37</v>
      </c>
      <c r="G161" s="21" t="s">
        <v>195</v>
      </c>
      <c r="H161" s="27">
        <v>47148</v>
      </c>
      <c r="I161" s="21">
        <v>2</v>
      </c>
      <c r="J161" s="21">
        <v>3</v>
      </c>
      <c r="K161" s="21">
        <v>4</v>
      </c>
      <c r="L161" s="22" t="str">
        <f t="shared" si="2"/>
        <v>YETERLİ</v>
      </c>
    </row>
    <row r="162" spans="1:12" x14ac:dyDescent="0.35">
      <c r="A162" s="20">
        <v>153</v>
      </c>
      <c r="B162" s="30" t="s">
        <v>388</v>
      </c>
      <c r="C162" s="30" t="s">
        <v>389</v>
      </c>
      <c r="D162" s="30" t="s">
        <v>340</v>
      </c>
      <c r="E162" s="30">
        <v>0</v>
      </c>
      <c r="F162" s="30" t="s">
        <v>19</v>
      </c>
      <c r="G162" s="30" t="s">
        <v>195</v>
      </c>
      <c r="H162" s="31"/>
      <c r="I162" s="30">
        <v>0</v>
      </c>
      <c r="J162" s="30">
        <v>0</v>
      </c>
      <c r="K162" s="30">
        <v>0</v>
      </c>
      <c r="L162" s="22" t="str">
        <f t="shared" si="2"/>
        <v>YETERLİ</v>
      </c>
    </row>
    <row r="163" spans="1:12" ht="28" x14ac:dyDescent="0.35">
      <c r="A163" s="20">
        <v>154</v>
      </c>
      <c r="B163" s="30" t="s">
        <v>390</v>
      </c>
      <c r="C163" s="30" t="s">
        <v>391</v>
      </c>
      <c r="D163" s="30" t="s">
        <v>340</v>
      </c>
      <c r="E163" s="30">
        <v>4</v>
      </c>
      <c r="F163" s="30" t="s">
        <v>24</v>
      </c>
      <c r="G163" s="30" t="s">
        <v>195</v>
      </c>
      <c r="H163" s="31" t="s">
        <v>392</v>
      </c>
      <c r="I163" s="30">
        <v>1</v>
      </c>
      <c r="J163" s="30">
        <v>2</v>
      </c>
      <c r="K163" s="30">
        <v>3</v>
      </c>
      <c r="L163" s="22" t="str">
        <f t="shared" si="2"/>
        <v>YETERLİ</v>
      </c>
    </row>
    <row r="164" spans="1:12" x14ac:dyDescent="0.35">
      <c r="A164" s="20">
        <v>155</v>
      </c>
      <c r="B164" s="21" t="s">
        <v>393</v>
      </c>
      <c r="C164" s="21" t="s">
        <v>394</v>
      </c>
      <c r="D164" s="21" t="s">
        <v>395</v>
      </c>
      <c r="E164" s="21">
        <v>2</v>
      </c>
      <c r="F164" s="21" t="s">
        <v>37</v>
      </c>
      <c r="G164" s="21" t="s">
        <v>195</v>
      </c>
      <c r="H164" s="27" t="s">
        <v>396</v>
      </c>
      <c r="I164" s="21">
        <v>1</v>
      </c>
      <c r="J164" s="21">
        <v>2</v>
      </c>
      <c r="K164" s="21">
        <v>5</v>
      </c>
      <c r="L164" s="22" t="str">
        <f t="shared" si="2"/>
        <v>YETERLİ</v>
      </c>
    </row>
    <row r="165" spans="1:12" x14ac:dyDescent="0.35">
      <c r="A165" s="20">
        <v>156</v>
      </c>
      <c r="B165" s="21" t="s">
        <v>397</v>
      </c>
      <c r="C165" s="4" t="s">
        <v>398</v>
      </c>
      <c r="D165" s="38" t="s">
        <v>340</v>
      </c>
      <c r="E165" s="21">
        <v>1</v>
      </c>
      <c r="F165" s="21" t="s">
        <v>19</v>
      </c>
      <c r="G165" s="21" t="s">
        <v>195</v>
      </c>
      <c r="H165" s="27">
        <v>47150</v>
      </c>
      <c r="I165" s="21">
        <v>1</v>
      </c>
      <c r="J165" s="21">
        <v>1</v>
      </c>
      <c r="K165" s="21">
        <v>2</v>
      </c>
      <c r="L165" s="22" t="str">
        <f t="shared" si="2"/>
        <v>YETERLİ</v>
      </c>
    </row>
    <row r="166" spans="1:12" ht="28" x14ac:dyDescent="0.35">
      <c r="A166" s="20">
        <v>157</v>
      </c>
      <c r="B166" s="30">
        <v>679923</v>
      </c>
      <c r="C166" s="21" t="s">
        <v>399</v>
      </c>
      <c r="D166" s="30" t="s">
        <v>114</v>
      </c>
      <c r="E166" s="30">
        <v>10</v>
      </c>
      <c r="F166" s="30" t="s">
        <v>37</v>
      </c>
      <c r="G166" s="30" t="s">
        <v>195</v>
      </c>
      <c r="H166" s="38" t="s">
        <v>400</v>
      </c>
      <c r="I166" s="30">
        <v>15</v>
      </c>
      <c r="J166" s="30">
        <v>21</v>
      </c>
      <c r="K166" s="30">
        <v>25</v>
      </c>
      <c r="L166" s="22" t="str">
        <f t="shared" si="2"/>
        <v>SATINAL</v>
      </c>
    </row>
    <row r="167" spans="1:12" x14ac:dyDescent="0.35">
      <c r="A167" s="20">
        <v>158</v>
      </c>
      <c r="B167" s="30">
        <v>204343</v>
      </c>
      <c r="C167" s="30" t="s">
        <v>401</v>
      </c>
      <c r="D167" s="30" t="s">
        <v>114</v>
      </c>
      <c r="E167" s="30">
        <v>0</v>
      </c>
      <c r="F167" s="30" t="s">
        <v>37</v>
      </c>
      <c r="G167" s="30" t="s">
        <v>195</v>
      </c>
      <c r="H167" s="31"/>
      <c r="I167" s="30">
        <v>2</v>
      </c>
      <c r="J167" s="30">
        <v>4</v>
      </c>
      <c r="K167" s="30">
        <v>5</v>
      </c>
      <c r="L167" s="22" t="str">
        <f t="shared" si="2"/>
        <v>SATINAL</v>
      </c>
    </row>
    <row r="168" spans="1:12" x14ac:dyDescent="0.35">
      <c r="A168" s="20">
        <v>158</v>
      </c>
      <c r="B168" s="30">
        <v>4398881</v>
      </c>
      <c r="C168" s="30" t="s">
        <v>402</v>
      </c>
      <c r="D168" s="30" t="s">
        <v>250</v>
      </c>
      <c r="E168" s="30">
        <v>1</v>
      </c>
      <c r="F168" s="30" t="s">
        <v>403</v>
      </c>
      <c r="G168" s="30" t="s">
        <v>195</v>
      </c>
      <c r="H168" s="31">
        <v>46234</v>
      </c>
      <c r="I168" s="30">
        <v>1</v>
      </c>
      <c r="J168" s="30">
        <v>1</v>
      </c>
      <c r="K168" s="30">
        <v>2</v>
      </c>
      <c r="L168" s="22" t="str">
        <f t="shared" si="2"/>
        <v>YETERLİ</v>
      </c>
    </row>
    <row r="169" spans="1:12" ht="28" x14ac:dyDescent="0.35">
      <c r="A169" s="20">
        <v>160</v>
      </c>
      <c r="B169" s="30">
        <v>4393927</v>
      </c>
      <c r="C169" s="30" t="s">
        <v>404</v>
      </c>
      <c r="D169" s="30" t="s">
        <v>33</v>
      </c>
      <c r="E169" s="30">
        <v>2</v>
      </c>
      <c r="F169" s="30" t="s">
        <v>19</v>
      </c>
      <c r="G169" s="30" t="s">
        <v>336</v>
      </c>
      <c r="H169" s="31" t="s">
        <v>405</v>
      </c>
      <c r="I169" s="30">
        <v>3</v>
      </c>
      <c r="J169" s="30">
        <v>4</v>
      </c>
      <c r="K169" s="30">
        <v>6</v>
      </c>
      <c r="L169" s="22" t="str">
        <f t="shared" si="2"/>
        <v>SATINAL</v>
      </c>
    </row>
    <row r="170" spans="1:12" ht="28" x14ac:dyDescent="0.35">
      <c r="A170" s="20">
        <v>161</v>
      </c>
      <c r="B170" s="30">
        <v>4408256</v>
      </c>
      <c r="C170" s="30" t="s">
        <v>406</v>
      </c>
      <c r="D170" s="30" t="s">
        <v>33</v>
      </c>
      <c r="E170" s="30">
        <v>2</v>
      </c>
      <c r="F170" s="30" t="s">
        <v>19</v>
      </c>
      <c r="G170" s="30" t="s">
        <v>336</v>
      </c>
      <c r="H170" s="31" t="s">
        <v>407</v>
      </c>
      <c r="I170" s="30">
        <v>3</v>
      </c>
      <c r="J170" s="30">
        <v>4</v>
      </c>
      <c r="K170" s="30">
        <v>6</v>
      </c>
      <c r="L170" s="22" t="str">
        <f t="shared" si="2"/>
        <v>SATINAL</v>
      </c>
    </row>
    <row r="171" spans="1:12" ht="28" x14ac:dyDescent="0.35">
      <c r="A171" s="20">
        <v>162</v>
      </c>
      <c r="B171" s="21">
        <v>21118</v>
      </c>
      <c r="C171" s="21" t="s">
        <v>408</v>
      </c>
      <c r="D171" s="21" t="s">
        <v>409</v>
      </c>
      <c r="E171" s="21">
        <v>4</v>
      </c>
      <c r="F171" s="21" t="s">
        <v>37</v>
      </c>
      <c r="G171" s="21" t="s">
        <v>286</v>
      </c>
      <c r="H171" s="27" t="s">
        <v>410</v>
      </c>
      <c r="I171" s="21">
        <v>4</v>
      </c>
      <c r="J171" s="21">
        <v>6</v>
      </c>
      <c r="K171" s="21">
        <v>8</v>
      </c>
      <c r="L171" s="22" t="str">
        <f t="shared" si="2"/>
        <v>SATINAL</v>
      </c>
    </row>
    <row r="172" spans="1:12" ht="28" x14ac:dyDescent="0.35">
      <c r="A172" s="20">
        <v>163</v>
      </c>
      <c r="B172" s="21" t="s">
        <v>411</v>
      </c>
      <c r="C172" s="21" t="s">
        <v>412</v>
      </c>
      <c r="D172" s="21" t="s">
        <v>413</v>
      </c>
      <c r="E172" s="21">
        <v>2</v>
      </c>
      <c r="F172" s="21" t="s">
        <v>24</v>
      </c>
      <c r="G172" s="21" t="s">
        <v>336</v>
      </c>
      <c r="H172" s="21" t="s">
        <v>414</v>
      </c>
      <c r="I172" s="21">
        <v>1</v>
      </c>
      <c r="J172" s="21">
        <v>2</v>
      </c>
      <c r="K172" s="21">
        <v>3</v>
      </c>
      <c r="L172" s="22" t="str">
        <f t="shared" si="2"/>
        <v>YETERLİ</v>
      </c>
    </row>
    <row r="173" spans="1:12" x14ac:dyDescent="0.35">
      <c r="A173" s="20">
        <v>164</v>
      </c>
      <c r="B173" s="30">
        <v>4393708</v>
      </c>
      <c r="C173" s="30" t="s">
        <v>415</v>
      </c>
      <c r="D173" s="30" t="s">
        <v>33</v>
      </c>
      <c r="E173" s="30">
        <v>4</v>
      </c>
      <c r="F173" s="30" t="s">
        <v>24</v>
      </c>
      <c r="G173" s="30" t="s">
        <v>416</v>
      </c>
      <c r="H173" s="31">
        <v>46252</v>
      </c>
      <c r="I173" s="30">
        <v>15</v>
      </c>
      <c r="J173" s="30">
        <v>20</v>
      </c>
      <c r="K173" s="30">
        <v>25</v>
      </c>
      <c r="L173" s="22" t="str">
        <f t="shared" si="2"/>
        <v>SATINAL</v>
      </c>
    </row>
    <row r="174" spans="1:12" x14ac:dyDescent="0.35">
      <c r="A174" s="20">
        <v>165</v>
      </c>
      <c r="B174" s="20">
        <v>4322682</v>
      </c>
      <c r="C174" s="20" t="s">
        <v>417</v>
      </c>
      <c r="D174" s="20" t="s">
        <v>33</v>
      </c>
      <c r="E174" s="20">
        <v>0</v>
      </c>
      <c r="F174" s="20" t="s">
        <v>24</v>
      </c>
      <c r="G174" s="20" t="s">
        <v>416</v>
      </c>
      <c r="H174" s="23"/>
      <c r="I174" s="24">
        <v>1</v>
      </c>
      <c r="J174" s="20">
        <v>1</v>
      </c>
      <c r="K174" s="20">
        <v>2</v>
      </c>
      <c r="L174" s="22" t="str">
        <f t="shared" si="2"/>
        <v>SATINAL</v>
      </c>
    </row>
    <row r="175" spans="1:12" x14ac:dyDescent="0.35">
      <c r="A175" s="20">
        <v>166</v>
      </c>
      <c r="B175" s="20" t="s">
        <v>418</v>
      </c>
      <c r="C175" s="20" t="s">
        <v>419</v>
      </c>
      <c r="D175" s="20" t="s">
        <v>420</v>
      </c>
      <c r="E175" s="20">
        <v>0</v>
      </c>
      <c r="F175" s="20" t="s">
        <v>24</v>
      </c>
      <c r="G175" s="20" t="s">
        <v>416</v>
      </c>
      <c r="H175" s="23"/>
      <c r="I175" s="24">
        <v>1</v>
      </c>
      <c r="J175" s="20">
        <v>1</v>
      </c>
      <c r="K175" s="20">
        <v>2</v>
      </c>
      <c r="L175" s="22" t="str">
        <f t="shared" si="2"/>
        <v>SATINAL</v>
      </c>
    </row>
    <row r="176" spans="1:12" x14ac:dyDescent="0.35">
      <c r="A176" s="20">
        <v>167</v>
      </c>
      <c r="B176" s="21" t="s">
        <v>421</v>
      </c>
      <c r="C176" s="21" t="s">
        <v>422</v>
      </c>
      <c r="D176" s="21" t="s">
        <v>423</v>
      </c>
      <c r="E176" s="21">
        <v>1</v>
      </c>
      <c r="F176" s="21" t="s">
        <v>37</v>
      </c>
      <c r="G176" s="21" t="s">
        <v>416</v>
      </c>
      <c r="H176" s="21" t="s">
        <v>25</v>
      </c>
      <c r="I176" s="21">
        <v>1</v>
      </c>
      <c r="J176" s="21">
        <v>2</v>
      </c>
      <c r="K176" s="21">
        <v>4</v>
      </c>
      <c r="L176" s="22" t="str">
        <f t="shared" si="2"/>
        <v>SATINAL</v>
      </c>
    </row>
    <row r="177" spans="1:13" x14ac:dyDescent="0.35">
      <c r="A177" s="20">
        <v>168</v>
      </c>
      <c r="B177" s="30" t="s">
        <v>424</v>
      </c>
      <c r="C177" s="30" t="s">
        <v>425</v>
      </c>
      <c r="D177" s="30" t="s">
        <v>423</v>
      </c>
      <c r="E177" s="30">
        <v>2</v>
      </c>
      <c r="F177" s="30" t="s">
        <v>37</v>
      </c>
      <c r="G177" s="30" t="s">
        <v>416</v>
      </c>
      <c r="H177" s="30" t="s">
        <v>25</v>
      </c>
      <c r="I177" s="30">
        <v>2</v>
      </c>
      <c r="J177" s="30">
        <v>3</v>
      </c>
      <c r="K177" s="30">
        <v>5</v>
      </c>
      <c r="L177" s="22" t="str">
        <f t="shared" si="2"/>
        <v>SATINAL</v>
      </c>
    </row>
    <row r="178" spans="1:13" x14ac:dyDescent="0.35">
      <c r="A178" s="20">
        <v>169</v>
      </c>
      <c r="B178" s="30" t="s">
        <v>426</v>
      </c>
      <c r="C178" s="30" t="s">
        <v>427</v>
      </c>
      <c r="D178" s="30" t="s">
        <v>428</v>
      </c>
      <c r="E178" s="30">
        <v>2</v>
      </c>
      <c r="F178" s="30" t="s">
        <v>37</v>
      </c>
      <c r="G178" s="30" t="s">
        <v>336</v>
      </c>
      <c r="H178" s="31">
        <v>46432</v>
      </c>
      <c r="I178" s="32">
        <v>1</v>
      </c>
      <c r="J178" s="30">
        <v>2</v>
      </c>
      <c r="K178" s="30">
        <v>3</v>
      </c>
      <c r="L178" s="22" t="str">
        <f t="shared" si="2"/>
        <v>YETERLİ</v>
      </c>
    </row>
    <row r="179" spans="1:13" ht="28" x14ac:dyDescent="0.35">
      <c r="A179" s="20">
        <v>170</v>
      </c>
      <c r="B179" s="30" t="s">
        <v>429</v>
      </c>
      <c r="C179" s="30" t="s">
        <v>430</v>
      </c>
      <c r="D179" s="30" t="s">
        <v>33</v>
      </c>
      <c r="E179" s="30">
        <v>1</v>
      </c>
      <c r="F179" s="30" t="s">
        <v>40</v>
      </c>
      <c r="G179" s="30" t="s">
        <v>431</v>
      </c>
      <c r="H179" s="30" t="s">
        <v>25</v>
      </c>
      <c r="I179" s="30">
        <v>0</v>
      </c>
      <c r="J179" s="30">
        <v>0</v>
      </c>
      <c r="K179" s="30">
        <v>0</v>
      </c>
      <c r="L179" s="22" t="str">
        <f t="shared" si="2"/>
        <v>YETERLİ</v>
      </c>
    </row>
    <row r="180" spans="1:13" ht="28" x14ac:dyDescent="0.35">
      <c r="A180" s="20">
        <v>171</v>
      </c>
      <c r="B180" s="21" t="s">
        <v>432</v>
      </c>
      <c r="C180" s="21" t="s">
        <v>433</v>
      </c>
      <c r="D180" s="21" t="s">
        <v>413</v>
      </c>
      <c r="E180" s="21">
        <v>2</v>
      </c>
      <c r="F180" s="21" t="s">
        <v>19</v>
      </c>
      <c r="G180" s="21" t="s">
        <v>434</v>
      </c>
      <c r="H180" s="21" t="s">
        <v>25</v>
      </c>
      <c r="I180" s="21">
        <v>1</v>
      </c>
      <c r="J180" s="21">
        <v>1</v>
      </c>
      <c r="K180" s="21">
        <v>1</v>
      </c>
      <c r="L180" s="22" t="str">
        <f t="shared" si="2"/>
        <v>YETERLİ</v>
      </c>
    </row>
    <row r="181" spans="1:13" ht="28" x14ac:dyDescent="0.35">
      <c r="A181" s="20">
        <v>172</v>
      </c>
      <c r="B181" s="32" t="s">
        <v>435</v>
      </c>
      <c r="C181" s="32" t="s">
        <v>436</v>
      </c>
      <c r="D181" s="30" t="s">
        <v>437</v>
      </c>
      <c r="E181" s="32">
        <v>2</v>
      </c>
      <c r="F181" s="30" t="s">
        <v>24</v>
      </c>
      <c r="G181" s="30" t="s">
        <v>434</v>
      </c>
      <c r="H181" s="44">
        <v>47058</v>
      </c>
      <c r="I181" s="32">
        <v>1</v>
      </c>
      <c r="J181" s="32">
        <v>2</v>
      </c>
      <c r="K181" s="32">
        <v>2</v>
      </c>
      <c r="L181" s="22" t="str">
        <f t="shared" si="2"/>
        <v>YETERLİ</v>
      </c>
    </row>
    <row r="182" spans="1:13" ht="28" x14ac:dyDescent="0.35">
      <c r="A182" s="20">
        <v>173</v>
      </c>
      <c r="B182" s="30">
        <v>1009832500</v>
      </c>
      <c r="C182" s="30" t="s">
        <v>438</v>
      </c>
      <c r="D182" s="30" t="s">
        <v>439</v>
      </c>
      <c r="E182" s="30">
        <v>2</v>
      </c>
      <c r="F182" s="30" t="s">
        <v>224</v>
      </c>
      <c r="G182" s="30" t="s">
        <v>434</v>
      </c>
      <c r="H182" s="44">
        <v>47542</v>
      </c>
      <c r="I182" s="32">
        <v>1</v>
      </c>
      <c r="J182" s="30">
        <v>2</v>
      </c>
      <c r="K182" s="30">
        <v>4</v>
      </c>
      <c r="L182" s="22" t="str">
        <f t="shared" si="2"/>
        <v>YETERLİ</v>
      </c>
    </row>
    <row r="183" spans="1:13" ht="28" x14ac:dyDescent="0.35">
      <c r="A183" s="20">
        <v>174</v>
      </c>
      <c r="B183" s="20" t="s">
        <v>440</v>
      </c>
      <c r="C183" s="20" t="s">
        <v>441</v>
      </c>
      <c r="D183" s="20" t="s">
        <v>413</v>
      </c>
      <c r="E183" s="20">
        <v>1</v>
      </c>
      <c r="F183" s="20" t="s">
        <v>442</v>
      </c>
      <c r="G183" s="20" t="s">
        <v>434</v>
      </c>
      <c r="H183" s="25" t="s">
        <v>25</v>
      </c>
      <c r="I183" s="26">
        <v>1</v>
      </c>
      <c r="J183" s="20">
        <v>1</v>
      </c>
      <c r="K183" s="20">
        <v>2</v>
      </c>
      <c r="L183" s="22" t="str">
        <f t="shared" si="2"/>
        <v>YETERLİ</v>
      </c>
    </row>
    <row r="184" spans="1:13" ht="28" x14ac:dyDescent="0.35">
      <c r="A184" s="20">
        <v>175</v>
      </c>
      <c r="B184" s="20">
        <v>25022</v>
      </c>
      <c r="C184" s="20" t="s">
        <v>443</v>
      </c>
      <c r="D184" s="20" t="s">
        <v>413</v>
      </c>
      <c r="E184" s="20">
        <v>1</v>
      </c>
      <c r="F184" s="20" t="s">
        <v>442</v>
      </c>
      <c r="G184" s="20" t="s">
        <v>434</v>
      </c>
      <c r="H184" s="25" t="s">
        <v>25</v>
      </c>
      <c r="I184" s="26">
        <v>1</v>
      </c>
      <c r="J184" s="20">
        <v>1</v>
      </c>
      <c r="K184" s="20">
        <v>2</v>
      </c>
      <c r="L184" s="22" t="str">
        <f t="shared" si="2"/>
        <v>YETERLİ</v>
      </c>
    </row>
    <row r="185" spans="1:13" ht="28" x14ac:dyDescent="0.35">
      <c r="A185" s="20">
        <v>176</v>
      </c>
      <c r="B185" s="45" t="s">
        <v>444</v>
      </c>
      <c r="C185" s="28" t="s">
        <v>445</v>
      </c>
      <c r="D185" s="20" t="s">
        <v>446</v>
      </c>
      <c r="E185" s="20">
        <v>1</v>
      </c>
      <c r="F185" s="20" t="s">
        <v>442</v>
      </c>
      <c r="G185" s="20" t="s">
        <v>434</v>
      </c>
      <c r="H185" s="25" t="s">
        <v>25</v>
      </c>
      <c r="I185" s="24">
        <v>1</v>
      </c>
      <c r="J185" s="20">
        <v>1</v>
      </c>
      <c r="K185" s="20">
        <v>2</v>
      </c>
      <c r="L185" s="22" t="str">
        <f t="shared" si="2"/>
        <v>YETERLİ</v>
      </c>
    </row>
    <row r="186" spans="1:13" ht="28" x14ac:dyDescent="0.35">
      <c r="A186" s="20">
        <v>177</v>
      </c>
      <c r="B186" s="20" t="s">
        <v>447</v>
      </c>
      <c r="C186" s="20" t="s">
        <v>448</v>
      </c>
      <c r="D186" s="20" t="s">
        <v>439</v>
      </c>
      <c r="E186" s="20">
        <v>1</v>
      </c>
      <c r="F186" s="20" t="s">
        <v>442</v>
      </c>
      <c r="G186" s="20" t="s">
        <v>434</v>
      </c>
      <c r="H186" s="25" t="s">
        <v>25</v>
      </c>
      <c r="I186" s="26">
        <v>0</v>
      </c>
      <c r="J186" s="20">
        <v>0</v>
      </c>
      <c r="K186" s="20">
        <v>0</v>
      </c>
      <c r="L186" s="22" t="str">
        <f t="shared" si="2"/>
        <v>YETERLİ</v>
      </c>
    </row>
    <row r="187" spans="1:13" ht="28" x14ac:dyDescent="0.35">
      <c r="A187" s="20">
        <v>178</v>
      </c>
      <c r="B187" s="20" t="s">
        <v>449</v>
      </c>
      <c r="C187" s="20" t="s">
        <v>450</v>
      </c>
      <c r="D187" s="20" t="s">
        <v>413</v>
      </c>
      <c r="E187" s="20">
        <v>1</v>
      </c>
      <c r="F187" s="20" t="s">
        <v>442</v>
      </c>
      <c r="G187" s="20" t="s">
        <v>434</v>
      </c>
      <c r="H187" s="25" t="s">
        <v>25</v>
      </c>
      <c r="I187" s="26">
        <v>0</v>
      </c>
      <c r="J187" s="20">
        <v>0</v>
      </c>
      <c r="K187" s="20">
        <v>0</v>
      </c>
      <c r="L187" s="22" t="str">
        <f t="shared" si="2"/>
        <v>YETERLİ</v>
      </c>
    </row>
    <row r="188" spans="1:13" ht="28" x14ac:dyDescent="0.35">
      <c r="A188" s="20">
        <v>179</v>
      </c>
      <c r="B188" s="20" t="s">
        <v>451</v>
      </c>
      <c r="C188" s="20" t="s">
        <v>452</v>
      </c>
      <c r="D188" s="20" t="s">
        <v>247</v>
      </c>
      <c r="E188" s="20">
        <v>1</v>
      </c>
      <c r="F188" s="20" t="s">
        <v>442</v>
      </c>
      <c r="G188" s="20" t="s">
        <v>434</v>
      </c>
      <c r="H188" s="25" t="s">
        <v>25</v>
      </c>
      <c r="I188" s="26">
        <v>1</v>
      </c>
      <c r="J188" s="20">
        <v>1</v>
      </c>
      <c r="K188" s="20">
        <v>2</v>
      </c>
      <c r="L188" s="22" t="str">
        <f t="shared" si="2"/>
        <v>YETERLİ</v>
      </c>
    </row>
    <row r="189" spans="1:13" ht="28" x14ac:dyDescent="0.35">
      <c r="A189" s="20">
        <v>180</v>
      </c>
      <c r="B189" s="20">
        <v>15596018</v>
      </c>
      <c r="C189" s="20" t="s">
        <v>453</v>
      </c>
      <c r="D189" s="20" t="s">
        <v>454</v>
      </c>
      <c r="E189" s="20">
        <v>1</v>
      </c>
      <c r="F189" s="20" t="s">
        <v>442</v>
      </c>
      <c r="G189" s="20" t="s">
        <v>434</v>
      </c>
      <c r="H189" s="25" t="s">
        <v>25</v>
      </c>
      <c r="I189" s="26">
        <v>1</v>
      </c>
      <c r="J189" s="20">
        <v>1</v>
      </c>
      <c r="K189" s="20">
        <v>2</v>
      </c>
      <c r="L189" s="22" t="str">
        <f t="shared" si="2"/>
        <v>YETERLİ</v>
      </c>
    </row>
    <row r="190" spans="1:13" ht="28" x14ac:dyDescent="0.35">
      <c r="A190" s="20">
        <v>181</v>
      </c>
      <c r="B190" s="20" t="s">
        <v>455</v>
      </c>
      <c r="C190" s="20" t="s">
        <v>456</v>
      </c>
      <c r="D190" s="20" t="s">
        <v>247</v>
      </c>
      <c r="E190" s="20">
        <v>1</v>
      </c>
      <c r="F190" s="20" t="s">
        <v>442</v>
      </c>
      <c r="G190" s="20" t="s">
        <v>434</v>
      </c>
      <c r="H190" s="25" t="s">
        <v>25</v>
      </c>
      <c r="I190" s="26">
        <v>1</v>
      </c>
      <c r="J190" s="20">
        <v>1</v>
      </c>
      <c r="K190" s="20">
        <v>2</v>
      </c>
      <c r="L190" s="22" t="str">
        <f t="shared" si="2"/>
        <v>YETERLİ</v>
      </c>
    </row>
    <row r="191" spans="1:13" ht="28" x14ac:dyDescent="0.35">
      <c r="A191" s="20">
        <v>182</v>
      </c>
      <c r="B191" s="20" t="s">
        <v>457</v>
      </c>
      <c r="C191" s="20" t="s">
        <v>458</v>
      </c>
      <c r="D191" s="20" t="s">
        <v>459</v>
      </c>
      <c r="E191" s="20">
        <v>1</v>
      </c>
      <c r="F191" s="20" t="s">
        <v>442</v>
      </c>
      <c r="G191" s="20" t="s">
        <v>434</v>
      </c>
      <c r="H191" s="25" t="s">
        <v>25</v>
      </c>
      <c r="I191" s="26">
        <v>1</v>
      </c>
      <c r="J191" s="20">
        <v>1</v>
      </c>
      <c r="K191" s="20">
        <v>2</v>
      </c>
      <c r="L191" s="22" t="str">
        <f t="shared" si="2"/>
        <v>YETERLİ</v>
      </c>
    </row>
    <row r="192" spans="1:13" s="15" customFormat="1" ht="28" x14ac:dyDescent="0.35">
      <c r="A192" s="5">
        <v>183</v>
      </c>
      <c r="B192" s="19">
        <v>80802500</v>
      </c>
      <c r="C192" s="5" t="s">
        <v>460</v>
      </c>
      <c r="D192" s="5" t="s">
        <v>461</v>
      </c>
      <c r="E192" s="5">
        <v>0</v>
      </c>
      <c r="F192" s="5" t="s">
        <v>442</v>
      </c>
      <c r="G192" s="5" t="s">
        <v>434</v>
      </c>
      <c r="H192" s="9">
        <v>45145</v>
      </c>
      <c r="I192" s="8">
        <v>0</v>
      </c>
      <c r="J192" s="5">
        <v>0</v>
      </c>
      <c r="K192" s="5">
        <v>0</v>
      </c>
      <c r="L192" s="14" t="str">
        <f t="shared" si="2"/>
        <v>YETERLİ</v>
      </c>
      <c r="M192" s="13" t="s">
        <v>103</v>
      </c>
    </row>
  </sheetData>
  <autoFilter ref="A9:L192" xr:uid="{00000000-0001-0000-0000-000000000000}"/>
  <mergeCells count="8">
    <mergeCell ref="A8:L8"/>
    <mergeCell ref="A1:C1"/>
    <mergeCell ref="A2:L2"/>
    <mergeCell ref="D1:L1"/>
    <mergeCell ref="I3:L5"/>
    <mergeCell ref="I6:L7"/>
    <mergeCell ref="G3:H7"/>
    <mergeCell ref="A3:F7"/>
  </mergeCells>
  <conditionalFormatting sqref="L10:L192">
    <cfRule type="containsText" dxfId="0" priority="1" operator="containsText" text="SATINAL">
      <formula>NOT(ISERROR(SEARCH("SATINAL",L10)))</formula>
    </cfRule>
  </conditionalFormatting>
  <pageMargins left="0.7" right="0.7" top="0.75" bottom="0.75" header="0.3" footer="0.3"/>
  <pageSetup paperSize="9" scale="55" orientation="portrait" r:id="rId1"/>
  <headerFooter>
    <oddFooter>&amp;LLY-F064-R2&amp;C &amp;P / &amp;N&amp;R13.11.2025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FA80-68D3-4388-90F6-23692E5E0A44}">
  <dimension ref="A1:K27"/>
  <sheetViews>
    <sheetView workbookViewId="0">
      <selection activeCell="I6" sqref="I6"/>
    </sheetView>
  </sheetViews>
  <sheetFormatPr defaultColWidth="9.1796875" defaultRowHeight="14.5" x14ac:dyDescent="0.35"/>
  <cols>
    <col min="1" max="1" width="20.26953125" customWidth="1"/>
    <col min="2" max="2" width="40.7265625" customWidth="1"/>
    <col min="3" max="3" width="10.26953125" bestFit="1" customWidth="1"/>
    <col min="4" max="4" width="5.81640625" bestFit="1" customWidth="1"/>
    <col min="5" max="5" width="6.26953125" bestFit="1" customWidth="1"/>
    <col min="6" max="6" width="10.453125" bestFit="1" customWidth="1"/>
    <col min="7" max="7" width="26.453125" customWidth="1"/>
  </cols>
  <sheetData>
    <row r="1" spans="1:11" ht="42" x14ac:dyDescent="0.35">
      <c r="A1" s="46" t="s">
        <v>6</v>
      </c>
      <c r="B1" s="46" t="s">
        <v>7</v>
      </c>
      <c r="C1" s="46" t="s">
        <v>8</v>
      </c>
      <c r="D1" s="46" t="s">
        <v>462</v>
      </c>
      <c r="E1" s="46" t="s">
        <v>463</v>
      </c>
      <c r="F1" s="46" t="s">
        <v>12</v>
      </c>
      <c r="G1" s="47"/>
      <c r="H1" s="48"/>
      <c r="I1" s="48"/>
      <c r="J1" s="48"/>
      <c r="K1" s="48"/>
    </row>
    <row r="2" spans="1:11" ht="29" x14ac:dyDescent="0.35">
      <c r="A2" s="49">
        <v>43944</v>
      </c>
      <c r="B2" s="49" t="s">
        <v>22</v>
      </c>
      <c r="C2" s="49" t="s">
        <v>23</v>
      </c>
      <c r="D2" s="49">
        <v>3</v>
      </c>
      <c r="E2" s="49" t="s">
        <v>224</v>
      </c>
      <c r="F2" s="50">
        <v>45323</v>
      </c>
      <c r="G2" s="51"/>
      <c r="H2" s="52"/>
      <c r="I2" s="52"/>
      <c r="J2" s="52"/>
      <c r="K2" s="52"/>
    </row>
    <row r="3" spans="1:11" x14ac:dyDescent="0.35">
      <c r="A3" s="53" t="s">
        <v>464</v>
      </c>
      <c r="B3" s="53" t="s">
        <v>465</v>
      </c>
      <c r="C3" s="53" t="s">
        <v>420</v>
      </c>
      <c r="D3" s="53">
        <v>1</v>
      </c>
      <c r="E3" s="53" t="s">
        <v>19</v>
      </c>
      <c r="F3" s="54">
        <v>45352</v>
      </c>
      <c r="G3" s="55" t="s">
        <v>466</v>
      </c>
      <c r="H3" s="56"/>
      <c r="I3" s="56"/>
      <c r="J3" s="56"/>
      <c r="K3" s="56"/>
    </row>
    <row r="4" spans="1:11" x14ac:dyDescent="0.35">
      <c r="A4" s="57" t="s">
        <v>467</v>
      </c>
      <c r="B4" s="57" t="s">
        <v>468</v>
      </c>
      <c r="C4" s="57" t="s">
        <v>469</v>
      </c>
      <c r="D4" s="57">
        <v>1</v>
      </c>
      <c r="E4" s="57" t="s">
        <v>24</v>
      </c>
      <c r="F4" s="58">
        <v>2022023</v>
      </c>
      <c r="G4" s="51"/>
      <c r="H4" s="52"/>
      <c r="I4" s="52"/>
      <c r="J4" s="52"/>
      <c r="K4" s="52"/>
    </row>
    <row r="5" spans="1:11" x14ac:dyDescent="0.35">
      <c r="A5" s="57">
        <v>4408399</v>
      </c>
      <c r="B5" s="57" t="s">
        <v>470</v>
      </c>
      <c r="C5" s="57" t="s">
        <v>33</v>
      </c>
      <c r="D5" s="57">
        <v>1</v>
      </c>
      <c r="E5" s="57" t="s">
        <v>19</v>
      </c>
      <c r="F5" s="58">
        <v>21032022</v>
      </c>
      <c r="G5" s="51"/>
      <c r="H5" s="52"/>
      <c r="I5" s="52"/>
      <c r="J5" s="52"/>
      <c r="K5" s="52"/>
    </row>
    <row r="6" spans="1:11" x14ac:dyDescent="0.35">
      <c r="A6" s="57" t="s">
        <v>471</v>
      </c>
      <c r="B6" s="57" t="s">
        <v>472</v>
      </c>
      <c r="C6" s="57" t="s">
        <v>473</v>
      </c>
      <c r="D6" s="57">
        <v>1</v>
      </c>
      <c r="E6" s="57" t="s">
        <v>37</v>
      </c>
      <c r="F6" s="58">
        <v>1062024</v>
      </c>
      <c r="G6" s="51"/>
      <c r="H6" s="52"/>
      <c r="I6" s="52"/>
      <c r="J6" s="52"/>
      <c r="K6" s="52"/>
    </row>
    <row r="7" spans="1:11" ht="29" x14ac:dyDescent="0.35">
      <c r="A7" s="59" t="s">
        <v>474</v>
      </c>
      <c r="B7" s="59" t="s">
        <v>475</v>
      </c>
      <c r="C7" s="59" t="s">
        <v>293</v>
      </c>
      <c r="D7" s="59">
        <v>4</v>
      </c>
      <c r="E7" s="59" t="s">
        <v>19</v>
      </c>
      <c r="F7" s="59" t="s">
        <v>476</v>
      </c>
      <c r="G7" s="60"/>
      <c r="H7" s="56"/>
      <c r="I7" s="56"/>
      <c r="J7" s="56"/>
      <c r="K7" s="56"/>
    </row>
    <row r="8" spans="1:11" x14ac:dyDescent="0.35">
      <c r="A8" s="57" t="s">
        <v>477</v>
      </c>
      <c r="B8" s="57" t="s">
        <v>478</v>
      </c>
      <c r="C8" s="57" t="s">
        <v>320</v>
      </c>
      <c r="D8" s="57">
        <v>1</v>
      </c>
      <c r="E8" s="57" t="s">
        <v>37</v>
      </c>
      <c r="F8" s="61">
        <v>1042025</v>
      </c>
      <c r="G8" s="62" t="s">
        <v>479</v>
      </c>
      <c r="H8" s="52"/>
      <c r="I8" s="52"/>
      <c r="J8" s="52"/>
      <c r="K8" s="52"/>
    </row>
    <row r="9" spans="1:11" ht="58" x14ac:dyDescent="0.35">
      <c r="A9" s="59" t="s">
        <v>480</v>
      </c>
      <c r="B9" s="59" t="s">
        <v>481</v>
      </c>
      <c r="C9" s="59" t="s">
        <v>59</v>
      </c>
      <c r="D9" s="59">
        <v>200</v>
      </c>
      <c r="E9" s="59" t="s">
        <v>482</v>
      </c>
      <c r="F9" s="59" t="s">
        <v>483</v>
      </c>
      <c r="G9" s="60"/>
      <c r="H9" s="56"/>
      <c r="I9" s="56"/>
      <c r="J9" s="56"/>
      <c r="K9" s="56"/>
    </row>
    <row r="10" spans="1:11" x14ac:dyDescent="0.35">
      <c r="A10" s="59" t="s">
        <v>258</v>
      </c>
      <c r="B10" s="59" t="s">
        <v>259</v>
      </c>
      <c r="C10" s="59" t="s">
        <v>59</v>
      </c>
      <c r="D10" s="59">
        <v>50</v>
      </c>
      <c r="E10" s="59" t="s">
        <v>482</v>
      </c>
      <c r="F10" s="63" t="s">
        <v>484</v>
      </c>
      <c r="G10" s="64"/>
      <c r="H10" s="56"/>
      <c r="I10" s="56"/>
      <c r="J10" s="56"/>
      <c r="K10" s="56"/>
    </row>
    <row r="11" spans="1:11" x14ac:dyDescent="0.35">
      <c r="A11" s="57" t="s">
        <v>485</v>
      </c>
      <c r="B11" s="57" t="s">
        <v>486</v>
      </c>
      <c r="C11" s="57" t="s">
        <v>59</v>
      </c>
      <c r="D11" s="57">
        <v>14</v>
      </c>
      <c r="E11" s="57" t="s">
        <v>482</v>
      </c>
      <c r="F11" s="58">
        <v>45748</v>
      </c>
      <c r="G11" s="51"/>
      <c r="H11" s="52"/>
      <c r="I11" s="52"/>
      <c r="J11" s="52"/>
      <c r="K11" s="52"/>
    </row>
    <row r="12" spans="1:11" x14ac:dyDescent="0.35">
      <c r="A12" s="57">
        <v>675013</v>
      </c>
      <c r="B12" s="57" t="s">
        <v>311</v>
      </c>
      <c r="C12" s="57" t="s">
        <v>312</v>
      </c>
      <c r="D12" s="57">
        <v>1</v>
      </c>
      <c r="E12" s="57" t="s">
        <v>37</v>
      </c>
      <c r="F12" s="58">
        <v>30112021</v>
      </c>
      <c r="G12" s="65" t="s">
        <v>487</v>
      </c>
      <c r="H12" s="52"/>
      <c r="I12" s="52"/>
      <c r="J12" s="52"/>
      <c r="K12" s="52"/>
    </row>
    <row r="13" spans="1:11" x14ac:dyDescent="0.35">
      <c r="A13" s="57">
        <v>675113</v>
      </c>
      <c r="B13" s="57" t="s">
        <v>488</v>
      </c>
      <c r="C13" s="57" t="s">
        <v>312</v>
      </c>
      <c r="D13" s="57">
        <v>1</v>
      </c>
      <c r="E13" s="57" t="s">
        <v>37</v>
      </c>
      <c r="F13" s="61">
        <v>44530</v>
      </c>
      <c r="G13" s="66"/>
      <c r="H13" s="52"/>
      <c r="I13" s="52"/>
      <c r="J13" s="52"/>
      <c r="K13" s="52"/>
    </row>
    <row r="14" spans="1:11" x14ac:dyDescent="0.35">
      <c r="A14" s="67" t="s">
        <v>252</v>
      </c>
      <c r="B14" s="67" t="s">
        <v>253</v>
      </c>
      <c r="C14" s="67" t="s">
        <v>254</v>
      </c>
      <c r="D14" s="67">
        <v>12</v>
      </c>
      <c r="E14" s="67" t="s">
        <v>19</v>
      </c>
      <c r="F14" s="68">
        <v>45017</v>
      </c>
      <c r="G14" s="60"/>
      <c r="H14" s="56"/>
      <c r="I14" s="56"/>
      <c r="J14" s="56"/>
      <c r="K14" s="56"/>
    </row>
    <row r="15" spans="1:11" x14ac:dyDescent="0.35">
      <c r="A15" s="69" t="s">
        <v>489</v>
      </c>
      <c r="B15" s="69" t="s">
        <v>490</v>
      </c>
      <c r="C15" s="69" t="s">
        <v>491</v>
      </c>
      <c r="D15" s="69">
        <v>2</v>
      </c>
      <c r="E15" s="69" t="s">
        <v>19</v>
      </c>
      <c r="F15" s="70">
        <v>1122023</v>
      </c>
      <c r="G15" s="64"/>
      <c r="H15" s="56"/>
      <c r="I15" s="56"/>
      <c r="J15" s="56"/>
      <c r="K15" s="56"/>
    </row>
    <row r="16" spans="1:11" x14ac:dyDescent="0.35">
      <c r="A16" s="71" t="s">
        <v>492</v>
      </c>
      <c r="B16" s="71" t="s">
        <v>493</v>
      </c>
      <c r="C16" s="72" t="s">
        <v>494</v>
      </c>
      <c r="D16" s="72">
        <v>1</v>
      </c>
      <c r="E16" s="72" t="s">
        <v>19</v>
      </c>
      <c r="F16" s="71" t="s">
        <v>495</v>
      </c>
      <c r="G16" s="51"/>
      <c r="H16" s="52"/>
      <c r="I16" s="52"/>
      <c r="J16" s="52"/>
      <c r="K16" s="52"/>
    </row>
    <row r="17" spans="1:11" x14ac:dyDescent="0.35">
      <c r="A17" s="73">
        <v>15058251</v>
      </c>
      <c r="B17" s="73" t="s">
        <v>496</v>
      </c>
      <c r="C17" s="57"/>
      <c r="D17" s="57">
        <v>1</v>
      </c>
      <c r="E17" s="57" t="s">
        <v>19</v>
      </c>
      <c r="F17" s="74">
        <v>44256</v>
      </c>
      <c r="G17" s="51"/>
      <c r="H17" s="52"/>
      <c r="I17" s="52"/>
      <c r="J17" s="52"/>
      <c r="K17" s="52"/>
    </row>
    <row r="18" spans="1:11" x14ac:dyDescent="0.35">
      <c r="A18" s="73">
        <v>20022409</v>
      </c>
      <c r="B18" s="73" t="s">
        <v>497</v>
      </c>
      <c r="C18" s="57"/>
      <c r="D18" s="57">
        <v>2</v>
      </c>
      <c r="E18" s="57" t="s">
        <v>19</v>
      </c>
      <c r="F18" s="74">
        <v>45814</v>
      </c>
      <c r="G18" s="51"/>
      <c r="H18" s="52"/>
      <c r="I18" s="52"/>
      <c r="J18" s="52"/>
      <c r="K18" s="52"/>
    </row>
    <row r="19" spans="1:11" ht="29" x14ac:dyDescent="0.35">
      <c r="A19" s="59" t="s">
        <v>498</v>
      </c>
      <c r="B19" s="59" t="s">
        <v>499</v>
      </c>
      <c r="C19" s="59" t="s">
        <v>214</v>
      </c>
      <c r="D19" s="59">
        <v>1</v>
      </c>
      <c r="E19" s="59" t="s">
        <v>500</v>
      </c>
      <c r="F19" s="75">
        <v>45027</v>
      </c>
      <c r="G19" s="65" t="s">
        <v>501</v>
      </c>
      <c r="H19" s="56"/>
      <c r="I19" s="56"/>
      <c r="J19" s="56"/>
      <c r="K19" s="56"/>
    </row>
    <row r="20" spans="1:11" x14ac:dyDescent="0.35">
      <c r="A20" s="59" t="s">
        <v>429</v>
      </c>
      <c r="B20" s="59" t="s">
        <v>502</v>
      </c>
      <c r="C20" s="59" t="s">
        <v>33</v>
      </c>
      <c r="D20" s="59">
        <v>1</v>
      </c>
      <c r="E20" s="59" t="s">
        <v>24</v>
      </c>
      <c r="F20" s="59" t="s">
        <v>25</v>
      </c>
      <c r="G20" s="62" t="s">
        <v>479</v>
      </c>
      <c r="H20" s="56"/>
      <c r="I20" s="56"/>
      <c r="J20" s="56"/>
      <c r="K20" s="56"/>
    </row>
    <row r="21" spans="1:11" x14ac:dyDescent="0.35">
      <c r="A21" s="59">
        <v>21122</v>
      </c>
      <c r="B21" s="59" t="s">
        <v>503</v>
      </c>
      <c r="C21" s="59" t="s">
        <v>293</v>
      </c>
      <c r="D21" s="59">
        <v>1</v>
      </c>
      <c r="E21" s="59" t="s">
        <v>24</v>
      </c>
      <c r="F21" s="75">
        <v>45017</v>
      </c>
      <c r="G21" s="62" t="s">
        <v>479</v>
      </c>
      <c r="H21" s="56"/>
      <c r="I21" s="56"/>
      <c r="J21" s="56"/>
      <c r="K21" s="56"/>
    </row>
    <row r="22" spans="1:11" x14ac:dyDescent="0.35">
      <c r="A22" s="57" t="s">
        <v>495</v>
      </c>
      <c r="B22" s="57" t="s">
        <v>504</v>
      </c>
      <c r="C22" s="57" t="s">
        <v>495</v>
      </c>
      <c r="D22" s="57">
        <v>1</v>
      </c>
      <c r="E22" s="57" t="s">
        <v>24</v>
      </c>
      <c r="F22" s="57" t="s">
        <v>25</v>
      </c>
      <c r="G22" s="51"/>
      <c r="H22" s="52"/>
      <c r="I22" s="52"/>
      <c r="J22" s="52"/>
      <c r="K22" s="52"/>
    </row>
    <row r="23" spans="1:11" x14ac:dyDescent="0.35">
      <c r="A23" s="57" t="s">
        <v>457</v>
      </c>
      <c r="B23" s="57" t="s">
        <v>458</v>
      </c>
      <c r="C23" s="57" t="s">
        <v>505</v>
      </c>
      <c r="D23" s="57">
        <v>1</v>
      </c>
      <c r="E23" s="57" t="s">
        <v>442</v>
      </c>
      <c r="F23" s="76">
        <v>1012023</v>
      </c>
      <c r="G23" s="51"/>
      <c r="H23" s="52"/>
      <c r="I23" s="52"/>
      <c r="J23" s="52"/>
      <c r="K23" s="52"/>
    </row>
    <row r="24" spans="1:11" x14ac:dyDescent="0.35">
      <c r="A24" s="77" t="s">
        <v>65</v>
      </c>
      <c r="B24" s="77" t="s">
        <v>290</v>
      </c>
      <c r="C24" s="77" t="s">
        <v>291</v>
      </c>
      <c r="D24" s="77">
        <v>1</v>
      </c>
      <c r="E24" s="77" t="s">
        <v>24</v>
      </c>
      <c r="F24" s="77" t="s">
        <v>25</v>
      </c>
      <c r="G24" s="51"/>
      <c r="H24" s="52"/>
      <c r="I24" s="52"/>
      <c r="J24" s="52"/>
      <c r="K24" s="52"/>
    </row>
    <row r="25" spans="1:11" x14ac:dyDescent="0.35">
      <c r="A25" s="72" t="s">
        <v>418</v>
      </c>
      <c r="B25" s="72" t="s">
        <v>419</v>
      </c>
      <c r="C25" s="72" t="s">
        <v>420</v>
      </c>
      <c r="D25" s="72">
        <v>1</v>
      </c>
      <c r="E25" s="72" t="s">
        <v>24</v>
      </c>
      <c r="F25" s="78">
        <v>45626</v>
      </c>
      <c r="G25" s="51"/>
      <c r="H25" s="52"/>
      <c r="I25" s="52"/>
      <c r="J25" s="52"/>
      <c r="K25" s="52"/>
    </row>
    <row r="26" spans="1:11" x14ac:dyDescent="0.35">
      <c r="A26" s="79">
        <v>4336911</v>
      </c>
      <c r="B26" s="79" t="s">
        <v>506</v>
      </c>
      <c r="C26" s="79"/>
      <c r="D26" s="79">
        <v>1</v>
      </c>
      <c r="E26" s="79" t="s">
        <v>24</v>
      </c>
      <c r="F26" s="79">
        <v>2023</v>
      </c>
      <c r="G26" s="80"/>
      <c r="H26" s="52"/>
      <c r="I26" s="52"/>
      <c r="J26" s="52"/>
      <c r="K26" s="52"/>
    </row>
    <row r="27" spans="1:11" x14ac:dyDescent="0.35">
      <c r="A27" s="81" t="s">
        <v>507</v>
      </c>
      <c r="B27" s="81" t="s">
        <v>508</v>
      </c>
      <c r="C27" s="81" t="s">
        <v>509</v>
      </c>
      <c r="D27" s="81">
        <v>1</v>
      </c>
      <c r="E27" s="81" t="s">
        <v>24</v>
      </c>
      <c r="F27" s="81">
        <v>2022</v>
      </c>
      <c r="G27" s="80"/>
      <c r="H27" s="52"/>
      <c r="I27" s="52"/>
      <c r="J27" s="52"/>
      <c r="K27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kullanım dışı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2026-03-04T11:36:52Z</dcterms:modified>
  <cp:category/>
  <cp:contentStatus/>
</cp:coreProperties>
</file>